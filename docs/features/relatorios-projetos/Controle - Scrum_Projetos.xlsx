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Visão Geral" sheetId="1" r:id="rId5"/>
    <sheet state="visible" name="BNQ" sheetId="2" r:id="rId6"/>
    <sheet state="visible" name="SPJ" sheetId="3" r:id="rId7"/>
    <sheet state="visible" name="EZ2" sheetId="4" r:id="rId8"/>
    <sheet state="visible" name="Rotulare" sheetId="5" r:id="rId9"/>
    <sheet state="visible" name="AENTS" sheetId="6" r:id="rId10"/>
    <sheet state="visible" name="ODD" sheetId="7" r:id="rId11"/>
    <sheet state="visible" name="📈 Métricas" sheetId="8" r:id="rId12"/>
  </sheets>
  <definedNames/>
  <calcPr/>
</workbook>
</file>

<file path=xl/sharedStrings.xml><?xml version="1.0" encoding="utf-8"?>
<sst xmlns="http://schemas.openxmlformats.org/spreadsheetml/2006/main" count="521" uniqueCount="245">
  <si>
    <t xml:space="preserve">  🗂️  CONTROLE DE SCRUMS — VISÃO DO GERENTE</t>
  </si>
  <si>
    <t>Sistema Produtiva Júnior — SPJ</t>
  </si>
  <si>
    <t>Brincar no Quintal — BNQ</t>
  </si>
  <si>
    <t>Sistema EZ2 — EZ2</t>
  </si>
  <si>
    <t xml:space="preserve">  20/03/2026   |   Atualização automática — edite nas abas de cada projeto.</t>
  </si>
  <si>
    <t xml:space="preserve">  Scrum Master: Vanessa</t>
  </si>
  <si>
    <t>PROJETO</t>
  </si>
  <si>
    <t>SCRUM MASTER</t>
  </si>
  <si>
    <t>GERENTE</t>
  </si>
  <si>
    <t xml:space="preserve">  Scrum Master: João Lucas</t>
  </si>
  <si>
    <t xml:space="preserve">  Gerente: João Lucas</t>
  </si>
  <si>
    <t xml:space="preserve">  Gerente: Pedro Henrique</t>
  </si>
  <si>
    <t>SPRINTS</t>
  </si>
  <si>
    <t>PIPEFY
OK</t>
  </si>
  <si>
    <t>ATA
OK</t>
  </si>
  <si>
    <t xml:space="preserve">  Atualizado: 19/05/2026</t>
  </si>
  <si>
    <t xml:space="preserve">  Atualizado: 04/09/2026</t>
  </si>
  <si>
    <t>STATUS REPORT</t>
  </si>
  <si>
    <t>TESTES
APROVADOS</t>
  </si>
  <si>
    <t>EM
TESTE</t>
  </si>
  <si>
    <t>ALERTA
GERAL</t>
  </si>
  <si>
    <t xml:space="preserve">data de entrega: </t>
  </si>
  <si>
    <t xml:space="preserve">  Scrum Master: Daniel Rannyeri</t>
  </si>
  <si>
    <t>Vanessa</t>
  </si>
  <si>
    <t xml:space="preserve">  Atualizado: 17/05/2026</t>
  </si>
  <si>
    <t>João Lucas</t>
  </si>
  <si>
    <t>Daniel Rannyeri</t>
  </si>
  <si>
    <t>📋  CONTROLE DE PROCESSO</t>
  </si>
  <si>
    <t>🧪  TESTES DE ENTREGA</t>
  </si>
  <si>
    <t>SPRINT</t>
  </si>
  <si>
    <t>PERÍODO</t>
  </si>
  <si>
    <t>ENTREGA
DE VALOR</t>
  </si>
  <si>
    <t>PIPEFY
ATUALIZADO?</t>
  </si>
  <si>
    <t>ATA
PREENCHIDA?</t>
  </si>
  <si>
    <t>STATUS REPORT ENVIADO?</t>
  </si>
  <si>
    <t>OBS. PROCESSO
(Gerente / SM)</t>
  </si>
  <si>
    <t>FEATURE
TESTADA</t>
  </si>
  <si>
    <t>TESTADOR
INTERNO</t>
  </si>
  <si>
    <t>TESTADOR
EXTERNO</t>
  </si>
  <si>
    <t>STATUS
TESTE</t>
  </si>
  <si>
    <t>OBS.
TESTE</t>
  </si>
  <si>
    <t>Kick off + Sprint 1</t>
  </si>
  <si>
    <t>22/05 - 05/06</t>
  </si>
  <si>
    <t>Planejamento e classificação de complexidade dos componentes da tela inicial, bloco de serviços e formulário de conversão de visitas.</t>
  </si>
  <si>
    <t>24/05 - 07/05</t>
  </si>
  <si>
    <t>Correção de bugs, ajuste de botões e criação do mockup da tela de cadastro</t>
  </si>
  <si>
    <t>Sistema Z2 — SZ2</t>
  </si>
  <si>
    <t>✅ OK</t>
  </si>
  <si>
    <t>Pedro Henrique</t>
  </si>
  <si>
    <t>22/04 - 05/05</t>
  </si>
  <si>
    <t>—</t>
  </si>
  <si>
    <t>A reunião teve como objetivo classificar e pontuar a complexidade dos componentes que serão desenvolvidos, foi utilizada a metodologia de poker planning. Além disso foram delegadas as atividades, porém, os desenvolvedores do frontend não puderam concluir devido a semanas atípicas.</t>
  </si>
  <si>
    <t>Finalização do projeto</t>
  </si>
  <si>
    <t>🔴 Não feito</t>
  </si>
  <si>
    <t>Tempo turbulento por causa do Portto, as tarefas foram de fazer ajustes de código, reponsividade, botões e refatoração de código no back</t>
  </si>
  <si>
    <t>Sprint 2</t>
  </si>
  <si>
    <t>06/06 - 12/06</t>
  </si>
  <si>
    <t>Analise e classificação da dificuldade da tela "Quem Somos" atraves do método "Poker Planning". Além disso, também foram criados os endpoints dos indicadores.</t>
  </si>
  <si>
    <t>Durante a coleta das atividades foi relatado que tanto um dos fronts quanto o UX/UI não conseguiram realizar as entregas previstas. Porém, ambas as situações foram relatadas com previedade ao Scrum Master.</t>
  </si>
  <si>
    <t>Sprint 3</t>
  </si>
  <si>
    <t>13/06 - 27/06</t>
  </si>
  <si>
    <t>Entrega dos componentes de Footer e Navbar e entrega parcial dos endpoints de depoimentos</t>
  </si>
  <si>
    <t>Devido a ida de alguns membros ao Destine'26 a próxima sprint terá duas semanas de duração.</t>
  </si>
  <si>
    <t>Sprint 4</t>
  </si>
  <si>
    <t>28/06 - 13/07</t>
  </si>
  <si>
    <t>Entrega da seção de serviços na tela inicial com responsividade, inicio da criação do banner da tela inicial e entrega parcial dos endpoints de depoimentos e dinamização dos cards de serviço.</t>
  </si>
  <si>
    <t>Durante essas duas semanas houveram alguns imprevistos como o computador de Levy, frontend, quebrar, a participação de Vanessa, frontend, no Destine e também a mudança de país de Gabriel, backend. Porém, as atividades estão se normalizando na medida do possível.</t>
  </si>
  <si>
    <t>08/05 - 14/05</t>
  </si>
  <si>
    <t>Faltando apenas a homologação da conta do cliente. Pensamentos agora estão voltados para começar a produção dos aditivos</t>
  </si>
  <si>
    <t>Função de cadastramento dos estudantes</t>
  </si>
  <si>
    <t>Sprint 5</t>
  </si>
  <si>
    <t>14/07 - 20/07</t>
  </si>
  <si>
    <t xml:space="preserve">Todas as atividades catalogadas para serem realizadas pelo backend foram finalizadas. </t>
  </si>
  <si>
    <t>O desenvolvedor Gabriel Nascimento foi inserido na equipe para auxiliar com possíveis ajustes futuramente e para se integrar ao ciclo de desenvolvimento de um projeto, porém, o backend está com maior parte das suas atividades finalizada. Ambos os desenvolvedores do fronend estão finalizando suas respectivas atividades e devem realizar as entregas delas na seguinte sprint.</t>
  </si>
  <si>
    <t>Sprint 6</t>
  </si>
  <si>
    <t>Sistema AENTS — AENTS</t>
  </si>
  <si>
    <t>21/07 - 27;07</t>
  </si>
  <si>
    <t>Entrega do componente de banner que será utilizado em 4 telas. Entrega dos componentes de indicadores, cards de serviço e formulário (apenas versão desktop) da tela inicial.</t>
  </si>
  <si>
    <t>⚠️ Incompleto</t>
  </si>
  <si>
    <t xml:space="preserve">Rômulo </t>
  </si>
  <si>
    <t>Front está responsável por refatorar códigos de partes diferentes do projeto. Back também fico responsável por refatorar código. O UX do projeto está de folga</t>
  </si>
  <si>
    <t>O desenvolvedor Gabriel Teixeira promoveu uma capacitação de Docker para o restante da equipe a fim de tornar o trabalho dos devs de front-end menos complicado no que diz respeito a configuração de ambiente de testes.</t>
  </si>
  <si>
    <t>Sprint 7</t>
  </si>
  <si>
    <t>28/07 - 03/08</t>
  </si>
  <si>
    <t>Entrega do carrossel do baner da tela inicial e das seções de "Nossa História", "Misão", "Visão" e "Valores". Desenvolvimento da versão mobile do formulário da tela inicial e do formulário de orçamento da tela de orçamento.</t>
  </si>
  <si>
    <t>Foi decidio que a próxima sprint durará até o dia 15/08. Além disso, foin acordado será realizada a tentativa de marcação de uma reunião com a cliente para a próxima semana, ou seja, dentro da semana que vai de 10/08 a 14/08.</t>
  </si>
  <si>
    <t>Sprint 8</t>
  </si>
  <si>
    <t>04/08 - 15/08</t>
  </si>
  <si>
    <t>Entrega do carrossel dos parceiros na tela "Quem Somos"</t>
  </si>
  <si>
    <t>A reunião com a cliente ainda não pôde ser marcada, porém a expectativa é que seja realizada durante a sprint atual. Foi levantada a possibilidade que seja realizada a noite ou durante o fim de semana, porém precisaremos confirmar com a cliente se realmetne é viável.</t>
  </si>
  <si>
    <t>Sprint 9</t>
  </si>
  <si>
    <t>16/08 - 22/08</t>
  </si>
  <si>
    <t>Entrega de elemento de depoimento do carrossel da tela inicial e correção de problemas com a api que impossibilitavam a integração com o frontend.</t>
  </si>
  <si>
    <t xml:space="preserve">Durante essa semana ocorreu a reunião com os clientes, porém, a representante da EZ2 que apareceu não foi uma das que tratamos normalmente, portanto, ela não pôde fazer uma análise como as outras fariam. Entretanto, a reunião teve seu objetivo pontual alcançado, isto é, realizar a demonstração dos avanços para a representante da empresa. Será marcada outra reunião para daqui duas sprints e a ideia é que seja com as stakeholders que tratamos no "dia a dia". </t>
  </si>
  <si>
    <t>06/05 - 13/05</t>
  </si>
  <si>
    <t>14/05 - 21/05</t>
  </si>
  <si>
    <t>Querem marcar reunião para apresentar uma função de cadastro do estundante, mas essa funcionalidade ainda está um pouco confusa, então precisam conversar com o pessoal da PJ para entender melhor</t>
  </si>
  <si>
    <t>Houve a homologação da conta do cliente</t>
  </si>
  <si>
    <t>Front fez algumas refatorações e criou uma nova branch, para essa semana ficou responsável por realizar mais refatorações, dessa vez no CSS. Back refatorou muitas linhas de código e para essa semana ficou responsável por criar um modelo de faturamento(pedido do cliente)</t>
  </si>
  <si>
    <t>Precisam marcar reunião de apresentação de mockup com o cliente para poderem prosseguir com o TAM(Aditivo do convite).</t>
  </si>
  <si>
    <t>21/05 - 28/05</t>
  </si>
  <si>
    <t>Sem entrega de valor já que a PJ não está colaborando</t>
  </si>
  <si>
    <t>13/05 - 19/05</t>
  </si>
  <si>
    <t>Sem entrega de valor, pois ainda estão com o problema da homologação da conta do cliente</t>
  </si>
  <si>
    <t>Front:
Corrigir erro na responsividade do ícone de filtro;
Corrigir erro na responsividade ao clicar no Botão Perfil;
Refatorar os arquivos CSS da página de Estudantes.
Back:
Adicionar o campo de faturamento e deixar editável;
Ajustar o campo "Captar em" trocando para "Faturamento" e ajustando o campo para corresponder ao faturamento;
Atualizar o README.md no repositório do Github.
Continuam na batalha para tentar marcar a bendita reunião com o pessoal da PJ</t>
  </si>
  <si>
    <t>O projeto está parado, pois não teve novas demandas, já que ainda precisa da homologação da conta do cliente, além disso, o ticket que havia dado um certo trabalho expirou e agora vai começar esse processo novamente. O mockup do primeiro aditivo está pronto e o desenvolvimento está muito avançado, mas ainda precisa da apresentação e aprovação do cliente com o mockup(reunião vai ser feita essa na quinta-feira)</t>
  </si>
  <si>
    <t>28/05 - 04/06</t>
  </si>
  <si>
    <t xml:space="preserve">Ainda não conseguiram marcar a reunião com a PJ, talvez façam um documento para apresentar a proposta ao pessoal da PJ, já que não conseguem uma reunião. O front ficou responsável por corrigir alguns erros de responsividade e refatorar arquivos de CSS, além de estar ajustando algumas coisas na tela de cadastro. O back, mesmo sem muitas informações, criou algumas tarefas para a parte de faturamento e fez o campo de faturamento, deixou ele editável e continua mexendo </t>
  </si>
  <si>
    <t>04/06 - 11/06</t>
  </si>
  <si>
    <t>20/05 - 26/05</t>
  </si>
  <si>
    <t>---</t>
  </si>
  <si>
    <t>Sistema Rotulare — Rotulare</t>
  </si>
  <si>
    <t>Carlos Gabriel</t>
  </si>
  <si>
    <t>Cliente continua sem marcar reuniões e dificultando os avanços do projeto. O front está trabalhando em refatoração de código e correção de bugs. O back ficou sem demandas, pois precisa das informações que a cliente não está fornecendo</t>
  </si>
  <si>
    <t>Teve reunião com o cliente para apresentação do mockup do primeiro aditivo, onde ele acabou pedindo algumas alterações e o UX do projeto já está trabalhando nessas mudanças. Quanto ao problema da homologação da conta do cliente com o banco, ainda está sendo resolvido e não teve nenhum grande avanço até então.</t>
  </si>
  <si>
    <t>11/06 - 25/06</t>
  </si>
  <si>
    <t>O projeto está parado, pois passamos pela semana de avaliação dos trainees, além de estarem na busca pela bendita reunião com a cliente, que continua adiando o momento</t>
  </si>
  <si>
    <t>26/05 - 03/06</t>
  </si>
  <si>
    <t>26/06 - 08/07</t>
  </si>
  <si>
    <t>As alterações do mockup estão prontas, faltando apenas apresentar para o cliente em uma reunião que ainda está para ser marcada. Sobre a homologação da conta, ainda está tendo problemas (um dia sai). Está para ser marcada uma reunião com a equipe para fazer alguns alinhamentos, pois fazem 2 semanas que eles não têm reuniões</t>
  </si>
  <si>
    <t>Os clientes não estão respondendo, então o projeto vai seguir com o que a equipe considera ser o certo até que se tenha uma resposta da PJ</t>
  </si>
  <si>
    <t>04/06 - 08/07</t>
  </si>
  <si>
    <t>09/07 - 16/07</t>
  </si>
  <si>
    <t>Tentando marcar reunião com o cliente e será marcado uma reunião com os devs backends do projeto para tentar resolver o problema do pagseguro e para fazer a integração do Ryan</t>
  </si>
  <si>
    <t>JV foi introduzido ao projeto e pegou pequenas demandas para essa semana (ver e entender o código), Rafa dando o suporte como padrinha. Rafa e PH estão ajudando a criar os novos backlogs para o prosseguimento do projeto. Além disso, já está sendo pensado em montar uma equipe de testes.</t>
  </si>
  <si>
    <t>09/07 - 15/07</t>
  </si>
  <si>
    <t>17/07 - 24/04</t>
  </si>
  <si>
    <t>Reunião com o cliente ainda no aguardo para acontecer. Sobre a homologação da conta do cliente, começaram os avanços e talvez esteja perto desse problema ser resolvido</t>
  </si>
  <si>
    <t>Durante o intensivão foram feitos testes no sistema, agora os devs deram continuidade e criaram novos testes para serem feitos. Para ajudar, a equipe tá com acesso ao Claude da EJECT para conseguir acelerar o processo</t>
  </si>
  <si>
    <t>16/07 - 22/07</t>
  </si>
  <si>
    <t>31/08 - atual</t>
  </si>
  <si>
    <t>A reunião com o cliente ainda não conseguiu ser marcada. Além disso houve a troca de PO no projeto e a homologação da conta do cliente continua avançando</t>
  </si>
  <si>
    <t>Colocaram Tainá e Gabriel Augusto para testarem o sistema, mas ainda não começaram, pois está sendo organizada a planilha de testes para poder organizar o que será feito. O projeto está próximo de ser entregue, conforme o que tá sendo pensado pela equipe (já que os clientes não deram mais nenhuma notícia). As tarefas atualmente estão mais focadas do back, faltando basicamanete a parte de cadastro de empresários.</t>
  </si>
  <si>
    <t>A homologação da conta do cliente ainda não foi concluída, é um prcoesso que leva tempo e Gabriel encontrou alguns empecilhos. Vai ser feita uma reunião com a equipe para alinhar com eles tudo que vem acontecendo no projeto. Nessa reunião há o objetivo de fazer uma devida introdução de Guilherme ao projeto e passar pra ele a demanda de marcar a reunião com o cliente</t>
  </si>
  <si>
    <t>28/08 - Atual</t>
  </si>
  <si>
    <t>Tiveram reunião com cliente sexta-feira(28/08) para aprensetação do mockup, onde o cliente pediu algumas alterações que já foram corrigidas e estão prontas para apresentar. A equipe vai passar por uma nova troca de PO, mas enquanto isso Vanessa está assumindo essa comunicação com o cliente e quer adiantar o TAM, pois quer fazer a última reunião de apresentação de mockup. Sobre a homologação da conta do cliente, basicamente teve que reiniciar o processo, pois durante a reunião criaram um card junto com o cliente e essa semana Gabriel e Roni, em uma nova reunião para resolver esse problema, perceberam que um e-email que foi enviado para eles acabou caindo no spam de ambos.</t>
  </si>
  <si>
    <t>Sistema ODD — ODD</t>
  </si>
  <si>
    <t xml:space="preserve">  💡  COMO USAR: O gerente edita ✅ / ⚠️ / 🔴 diretamente em cada aba de projeto (colunas Pipefy e ATA). As colunas E, F, G, H e o Alerta Geral aqui na Visão Geral atualizam automaticamente. A aba 📈 Métricas também recalcula sozinha.</t>
  </si>
  <si>
    <t>Rotulare</t>
  </si>
  <si>
    <t xml:space="preserve">  Scrum Master: Carlos Gabriel</t>
  </si>
  <si>
    <t xml:space="preserve">  Scrum Master: Rômulo</t>
  </si>
  <si>
    <t xml:space="preserve">  Gerente: Danibala </t>
  </si>
  <si>
    <t xml:space="preserve">  Atualizado: 22/04/2026</t>
  </si>
  <si>
    <t>Sprint "1"</t>
  </si>
  <si>
    <t>13/04 - 20/04</t>
  </si>
  <si>
    <t>Módulos de usuários, fornecedores e custos</t>
  </si>
  <si>
    <t>Os módulos de usuários e custos passarão por correçoes, mas o módulo de fornecedores não teve objeções. Além disso, o projeto atualmente não possui um Scrum Master (o diretor de projetos está a frente), portanto não possui ata de sprint. Houve reunião com a cliente nessa semana.</t>
  </si>
  <si>
    <t>Os testes não estão estruturados, esse ponto será corrigido para a próxima sprint</t>
  </si>
  <si>
    <t>20/04 - 28/04</t>
  </si>
  <si>
    <t>Correções no módulo de fornecedores e tipos de usuáro com permissões ajustadas.</t>
  </si>
  <si>
    <t>A sprint teve que ter um dia a mais devido a reunião de alinhamento do apadrinhamento dos trainees. O primeiro status report foi enviado. O projeto agora possui ata de sprint review e o SM é Carlos Gabriel, diretor de projetos.</t>
  </si>
  <si>
    <t>Seguimos com os problemas dos testes, porém estamos tentando o sistema conforme vamos corrigindo.</t>
  </si>
  <si>
    <t>29/04 - 04/05</t>
  </si>
  <si>
    <t>Correções pendentes da última sprint, pois após a validação com a cliente ela pontuou pontos de melhoria.</t>
  </si>
  <si>
    <t>Nos dias 02/05 e 03/05 ocorreu o Portto'26, evento do MEJ em Mossoró e 3 dos 4 membros do projeto estavam presentes, portanto foi decido que seria uma semana mais tranquila visto que a disponibilidade seria baixa.</t>
  </si>
  <si>
    <t>Não foram realizados testes</t>
  </si>
  <si>
    <t>05/05 - 12/05</t>
  </si>
  <si>
    <t>Validação dos esboços da tela de controle de estoque com a cliente.</t>
  </si>
  <si>
    <t xml:space="preserve">A reunião com a cliente aconteceu no dia 09/05 e contou coma presença do P.O e do SM. A cliente validou e corrigiu os esboços, porém ainda será necessário apresentar outra versão para bater o martelo. </t>
  </si>
  <si>
    <t>13/05 - 18/05</t>
  </si>
  <si>
    <t>Correções nos componentes de menu hambuguer e footer, além de correções pontuais na botão de pesquisa no módulo de controle de estoque. Além disso, foi corrigido o esboço da tela principal do módulo de controle de estoque.</t>
  </si>
  <si>
    <t>O esboço criado nessa sprint será validado com a cliente. A equipe está apenas com um desenvolvedor frontend ativo e um backend, sendo também o Scrum Master do projeto.</t>
  </si>
  <si>
    <t>19/05 - 25/05</t>
  </si>
  <si>
    <t>Validação do esboço final que será utilizado na tela de controle de estoque. Correções em bugs nos cards de ficha técnica e estruturação das permissões do sistemas entre tipos de usuários.</t>
  </si>
  <si>
    <t>Algumas atividades dessa semana tiveram desdobramentos, portanto foram passados seus extras para a sprint atual, mas algumas causas são o código legado do projeto.</t>
  </si>
  <si>
    <t>26/05 - 01/06</t>
  </si>
  <si>
    <t>Reestruturação dos cards de ficha técnica a fim de dar melhor visibilidade para a imagem do card e correção dos ajustes de permissões do usuário cozinha. Além de correções na navbar e no footer.</t>
  </si>
  <si>
    <t>Foi notada que a remodelagem do banco de dados terá de ser estudada e subdivididas em tarefas menores, visto que envolve um escopo bem maior do que o previsto. Outro ponto de destaque é que foi identificado que não há uma tela especifica para editar pedido, portanto é mais uima atividade que será planejada e subdividada.</t>
  </si>
  <si>
    <t>02/06 - 08/06</t>
  </si>
  <si>
    <t>As atividades da sprint não puderam ser realizadas devido a sobrecarga dos membros com outras atividades, tanto da faculdade, quanto pessoais. A cliente foi informada do ocorrido, porém não foi confeccionado Status Report porque não havia o que reportar, porém a cliente foi informada do ocorrido.</t>
  </si>
  <si>
    <t>09/06 - 15/06</t>
  </si>
  <si>
    <t xml:space="preserve">Parte estática da tela de controle de estoque e criação da lógica e telas de edição de pedido. </t>
  </si>
  <si>
    <t>Foi marcada a reunião com a cliente para a validação do desenvolvimento do novo design da tela de controle de estoque. A reunião será 20/06 as 15h30.</t>
  </si>
  <si>
    <t>Sprint 10</t>
  </si>
  <si>
    <t>16/06 - 22/06</t>
  </si>
  <si>
    <t>Reunião com a cliente para mostrar o novo design da tela de controle de estoque e Inicio da dinamização da nova tela de controle de estoque.</t>
  </si>
  <si>
    <t>A reunião ocorreu no dia 20/06 pela manhã e correu como prevista, nela foi apresentada a tela de controle de estoque com o novo design e também foi alinhado com a cliente que um novo prazo de entrega realista seria planejado.</t>
  </si>
  <si>
    <t>Sprint 11</t>
  </si>
  <si>
    <t>23/06 - 29/06</t>
  </si>
  <si>
    <t>Não houve nenhuma</t>
  </si>
  <si>
    <t>Sprint 1</t>
  </si>
  <si>
    <t>17/04–24/04</t>
  </si>
  <si>
    <t>Essa semana foi marcada pelo ingresso dos novos membros, a semana do Destine'26, ou seja, semana de 3 dias úteis e a penultima semana do semestre letivo, portanto, não foi possível realizar atividades na sprint.</t>
  </si>
  <si>
    <t>Sprint 12</t>
  </si>
  <si>
    <t>30/06 - 06/07</t>
  </si>
  <si>
    <t>Dinamização da tela de controle de estoque e ajuste na reponsividade, ajustes na responsividade da tela de insumos alimentares e correção no espaçamento do formulário de cadastro da tela de cadastro de usuário. Ajustes na versão mobile dos módulos de preço de venda, insumos alimentares e ficha ténica.</t>
  </si>
  <si>
    <t>Os novos membros receberam suas primeiras atividades e iniciaram o processo de habituar-se ao sistema. Levy, desenvolvedor front-end, teve seu notebook danificado e está buscando meios de viabilizar o desenvolvimento. Além disso, a desenvolvedora front-end Thamyres também está com problemas pessoais e precisará se afastar por um tempo.</t>
  </si>
  <si>
    <t>Sprint 13</t>
  </si>
  <si>
    <t>07/07 - 13/07</t>
  </si>
  <si>
    <t>A atividade de adição de campo extra no alergênico específico no módulo de Ficha Técnica foi a única realizada em sua completude.</t>
  </si>
  <si>
    <t>Levy segue com problemas técnicos e foi impossibilitado de dar seguimento as suas atividades e Thamyres segue afastada por motivos pessoais, portanto não há avanços significativos no frontend. Porém, Emanuel e José Fernandes tiveram avanços em suas atividades. Além disso, a nova P.O do projeto, Rebecca, foi introduzida a equipe e será acompanhada pelo gerente, Pedro Henrique, durante o período de adaptação.</t>
  </si>
  <si>
    <t>Não irá conseguir entregar o Projeto dia 25, pois vão ter mais telas adicionais. Planejamento da finalização do Projeto está em torno de 3 semanas a 1 mês, com testes. O Front está desenvolvendo a tela de administrador e, logo em seguida, irá para telas adicionais. O Back está finalizado até então.</t>
  </si>
  <si>
    <t>Sprint 14</t>
  </si>
  <si>
    <t>Foi finalizada a atividade de adicionar um alergenico a lista de escolhas no módulo de Ficha Técnica e foi conduzido um estudo sobre valores incosistentes no módulo de Preço de Venda.</t>
  </si>
  <si>
    <t>ODD</t>
  </si>
  <si>
    <t>Sprint "2"</t>
  </si>
  <si>
    <t>Houve uma reunião com a cliente no sábado, dia 18/07, e foram alinhadas informações sobre os módulos de Dashboard e Pedidos. A desenvolvedora front-end Thamyres retornou a equipe e o notebook do desenvolvedor front-end Levy está cotado para chegar no dia 21/07, portanto é esperado que o front-end do projeto volte a seu fluxo comum.</t>
  </si>
  <si>
    <t>Sprint 15</t>
  </si>
  <si>
    <t>21/07 - 27/07</t>
  </si>
  <si>
    <t>Foi entregue a correção dos links da página de login na página institucional, o ajuste no botão que leva a página de pagamento e a restrição visual do sistema quando o usuário estiver inadimplente.</t>
  </si>
  <si>
    <t xml:space="preserve">A coleta de atividades da sprint foi realizada durante o intensivão, além disso, também foi realizada uma rodada de testes de onde surgiram diversos cards de atividades que irão ser corriidos nas próximas sprints. </t>
  </si>
  <si>
    <t>Sprint 16</t>
  </si>
  <si>
    <t xml:space="preserve">  Gerente: Daniel Rannyeri</t>
  </si>
  <si>
    <t xml:space="preserve">Foram entregues o modal de detalhes de item na tela de controle de estoque, o botão e indicador de status de situação de pagamento do sistema, a seção de listagem de clientes em uma mesa, a modelagem de um cliente para ser utilizada no módulo de Pedidos, a implementação de uma listagem de garçons na criação de comanda, refatoração de validação de dados na criação de um usuário e revisão de casos de uso no tratamento de mesas em aberto no módulo de Mesas. </t>
  </si>
  <si>
    <t>Não houve encontro sincrono para coleta das atividades, porém, foram repassadas via chat do google. Além disso, as atividades estão direcionadas aos módulos de Pedidos, Mesas e Controle de Estoque.</t>
  </si>
  <si>
    <t xml:space="preserve">  Atualizado: 20/03/2026</t>
  </si>
  <si>
    <t xml:space="preserve">Se reuniu com o cliente para entender sobre as funcionalidades de Renovação de Matrícula e a Cobrança de Mensalidade com Atraso. Foi uma reunião de bastante dúvidas, por que quanto mais eles falavam, mais dúvidas surgiam. Fizeram mais uma Sprint extra nessa semana apenas com os backs, pois vai precisar refatorar algumas coisas, como: pagamento, quantidade de semestres para cada instituição (que isso engloba também a parte de pagamento). Back vai fazer uma quantidade boa de ajustes na semana e o Front continuar ajustes nos cadastros e desenvolvimento normal.  </t>
  </si>
  <si>
    <t xml:space="preserve">  📈  MÉTRICAS POR SQUAD</t>
  </si>
  <si>
    <t>Sprint 17</t>
  </si>
  <si>
    <t>04/08 - 10/08</t>
  </si>
  <si>
    <t xml:space="preserve">Sprint 3 </t>
  </si>
  <si>
    <t>12/05-15/05</t>
  </si>
  <si>
    <t>As sprints 16 e 17 tem as mesmas atividades devido a que os PRs da sprint anterior foram validados na sprint atual, visto que os repasses haviam sido assincronos.</t>
  </si>
  <si>
    <t>Sprint 18</t>
  </si>
  <si>
    <t>Front continua com o desenvolvimento da tela do Painel Administrativo. Back está com atividades dos ajustes que vão ser precisos no sistema de pagamento, que é gerar links de pagamento pra todos os estudantes no dia 1 até dia 15, e outros do dia 16 até o dia 1 com 1% de taxa pra quem não pagou o primeiro.</t>
  </si>
  <si>
    <t>11/08 - 17/08</t>
  </si>
  <si>
    <t xml:space="preserve">Foi entregue o modal de de adição de novo cliente no módulo de Pedidos e foi realizada a dinamização da tela de "Detalhes do Pedido" com adição de CRUD de clientes e comandas.  </t>
  </si>
  <si>
    <t>15/05 - 22/05</t>
  </si>
  <si>
    <t>Os desenvolvedores Levy e José Fernandes não puderam realizar suas atividades. Levy não as realizou por motivos pessoais e Fernandes foi impossibilitado de acessar as credenciais da STRIPE da EJECT e teve suas atividades para a próxima sprint alteradas.</t>
  </si>
  <si>
    <t>Sprint 19</t>
  </si>
  <si>
    <t>18/08 - 24/08</t>
  </si>
  <si>
    <t>No frontend foi realizada a reorganização dos campos na tela de criação de pedidos e substituição dos dados da comanda para dados relacionados ao cliente. Além disso, também foi corrigida a estilização da tela de "detalhes de mesa" que havia ficado insconsistente. Já o backend foram substituidas as informaçẽos de preço estáticas pela dinamização dos valores no módulo de mesas e comandas.</t>
  </si>
  <si>
    <t>A reunião por conduzida pelo gerente do projeto, Pedro Henrique, devido a que o Scrum Master, Carlos Gabriel, está em outro estado para participar do ENEJ. A reunião com a cliente será marcada para o dia 29/08, sábado, as 16h, se tudo correr como o planejado e as atividades pendentes serão realizadas até a data prevista.</t>
  </si>
  <si>
    <t>Sprint 20</t>
  </si>
  <si>
    <t>25/08 - 01/09</t>
  </si>
  <si>
    <t>No frontend foi realizar a correção da tela de "Detelhes da mesa" que estava com incosistências na estilização, foi realizada também a correção do vazamento de texto dos cards de mesa ativos, foi adicionado a primeira versão de mensagem de confirmação na criação de pedidos e mensagens de restrições quando um pedido é criado indevidamente. No backend forám corrigidas incosistências de descosto de valores no estoque e adição de lógica para utilização de mensagens de confirmação de deleção ou criação.</t>
  </si>
  <si>
    <t>PIPEFY
INCOMPL.</t>
  </si>
  <si>
    <t>PIPEFY
NÃO FEITO</t>
  </si>
  <si>
    <t>ATA
INCOMPL.</t>
  </si>
  <si>
    <t>Atualmente o projeto está passando pelo período de transição de Scrum Master onde Carlos Gabriel, atual diretor de projetos, está saindo do cargo e Pedro Henrique, atual gerente, porém na última semana do exercício da função, está assumindo o cargo. As atividades da próxima sprint serão concentradas em planejamento, adaptação e definição de cronograma e próximos passos. Além disso, no dia 30/08, as 10 da manhã, ocorreu a reunião com a cliente do projeto. A reunião correu conforme o esperado, porém, a cliente solicitou um planejamento e cronograma sobre as próximas entregas e sobre a data de finalização do projeto.</t>
  </si>
  <si>
    <t>ATA
NÃO FEITA</t>
  </si>
  <si>
    <t>Finalização do Manual do sistema</t>
  </si>
  <si>
    <t>Semana usada para documentar o código no manual, estruturando-o. Alguns ajustes em relação ao que tange a robutez do tratamento de erros.
Carlos Gabriel está tentando realizar o deploy do sistema, mas está com alguns problemas, pois o deploy só está funcionando no domínio da UFRN. Já está com as credencias do Professor para Hospedar.</t>
  </si>
  <si>
    <t>11/05 -15/05</t>
  </si>
  <si>
    <t xml:space="preserve">Esperando o Deploy que será realizado por Carlos Gabriel e testes no sistema realizado por Daniel Rannyeri para correção de possíveis erros. </t>
  </si>
  <si>
    <t>15/05 - 21/05</t>
  </si>
  <si>
    <t>Feito o deploy e que o TEP já está finalizado. Esperando outra reunião com cliente do dia 03/06.</t>
  </si>
  <si>
    <t>TOTAL</t>
  </si>
  <si>
    <t xml:space="preserve">  📊  TAXA DE CONFORMIDADE POR SQUAD</t>
  </si>
  <si>
    <t>PIPEFY OK %</t>
  </si>
  <si>
    <t>ATA OK %</t>
  </si>
  <si>
    <t>EM TESTE</t>
  </si>
  <si>
    <t>REPROVADOS</t>
  </si>
  <si>
    <t>⚠️ ALERTAS
PIPEFY+ATA</t>
  </si>
  <si>
    <t>STATUS GERAL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</si>
</sst>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19">
    <font>
      <sz val="11.0"/>
      <color theme="1"/>
      <name val="Calibri"/>
      <scheme val="minor"/>
    </font>
    <font>
      <b/>
      <sz val="16.0"/>
      <color rgb="FFFFFFFF"/>
      <name val="Arial"/>
    </font>
    <font/>
    <font>
      <b/>
      <sz val="15.0"/>
      <color rgb="FFFFFFFF"/>
      <name val="Arial"/>
    </font>
    <font>
      <i/>
      <sz val="9.0"/>
      <color rgb="FFFFFFFF"/>
      <name val="Arial"/>
    </font>
    <font>
      <b/>
      <sz val="8.0"/>
      <color rgb="FFFFFFFF"/>
      <name val="Arial"/>
    </font>
    <font>
      <b/>
      <sz val="9.0"/>
      <color rgb="FFFFFFFF"/>
      <name val="Arial"/>
    </font>
    <font>
      <b/>
      <sz val="9.0"/>
      <color rgb="FF1A1A2E"/>
      <name val="Arial"/>
    </font>
    <font>
      <sz val="9.0"/>
      <color rgb="FF1A1A2E"/>
      <name val="Arial"/>
    </font>
    <font>
      <b/>
      <sz val="10.0"/>
      <color rgb="FFFFFFFF"/>
      <name val="Arial"/>
    </font>
    <font>
      <color theme="1"/>
      <name val="Calibri"/>
      <scheme val="minor"/>
    </font>
    <font>
      <b/>
      <sz val="9.0"/>
      <color rgb="FF1E8449"/>
      <name val="Arial"/>
    </font>
    <font>
      <b/>
      <sz val="9.0"/>
      <color rgb="FFAAAAAA"/>
      <name val="Arial"/>
    </font>
    <font>
      <sz val="11.0"/>
      <color theme="1"/>
      <name val="Calibri"/>
    </font>
    <font>
      <b/>
      <sz val="9.0"/>
      <color rgb="FFC0392B"/>
      <name val="Arial"/>
    </font>
    <font>
      <b/>
      <sz val="9.0"/>
      <color rgb="FFB7950B"/>
      <name val="Arial"/>
    </font>
    <font>
      <i/>
      <sz val="9.0"/>
      <color rgb="FF1E3A5F"/>
      <name val="Arial"/>
    </font>
    <font>
      <b/>
      <sz val="9.0"/>
      <color rgb="FF1E3A5F"/>
      <name val="Arial"/>
    </font>
    <font>
      <b/>
      <sz val="11.0"/>
      <color rgb="FFFFFFFF"/>
      <name val="Arial"/>
    </font>
  </fonts>
  <fills count="15">
    <fill>
      <patternFill patternType="none"/>
    </fill>
    <fill>
      <patternFill patternType="lightGray"/>
    </fill>
    <fill>
      <patternFill patternType="solid">
        <fgColor rgb="FF1E3A5F"/>
        <bgColor rgb="FF1E3A5F"/>
      </patternFill>
    </fill>
    <fill>
      <patternFill patternType="solid">
        <fgColor rgb="FF2E6DA4"/>
        <bgColor rgb="FF2E6DA4"/>
      </patternFill>
    </fill>
    <fill>
      <patternFill patternType="solid">
        <fgColor rgb="FFFFFFFF"/>
        <bgColor rgb="FFFFFFFF"/>
      </patternFill>
    </fill>
    <fill>
      <patternFill patternType="solid">
        <fgColor rgb="FF1E8449"/>
        <bgColor rgb="FF1E8449"/>
      </patternFill>
    </fill>
    <fill>
      <patternFill patternType="solid">
        <fgColor rgb="FFB7950B"/>
        <bgColor rgb="FFB7950B"/>
      </patternFill>
    </fill>
    <fill>
      <patternFill patternType="solid">
        <fgColor rgb="FF117A65"/>
        <bgColor rgb="FF117A65"/>
      </patternFill>
    </fill>
    <fill>
      <patternFill patternType="solid">
        <fgColor rgb="FFF4F6F7"/>
        <bgColor rgb="FFF4F6F7"/>
      </patternFill>
    </fill>
    <fill>
      <patternFill patternType="solid">
        <fgColor rgb="FFD5F5E3"/>
        <bgColor rgb="FFD5F5E3"/>
      </patternFill>
    </fill>
    <fill>
      <patternFill patternType="solid">
        <fgColor rgb="FFEFEFEF"/>
        <bgColor rgb="FFEFEFEF"/>
      </patternFill>
    </fill>
    <fill>
      <patternFill patternType="solid">
        <fgColor rgb="FFFADBD8"/>
        <bgColor rgb="FFFADBD8"/>
      </patternFill>
    </fill>
    <fill>
      <patternFill patternType="solid">
        <fgColor rgb="FFFEF9E7"/>
        <bgColor rgb="FFFEF9E7"/>
      </patternFill>
    </fill>
    <fill>
      <patternFill patternType="solid">
        <fgColor rgb="FFD6E4F0"/>
        <bgColor rgb="FFD6E4F0"/>
      </patternFill>
    </fill>
    <fill>
      <patternFill patternType="solid">
        <fgColor rgb="FF6C3483"/>
        <bgColor rgb="FF6C3483"/>
      </patternFill>
    </fill>
  </fills>
  <borders count="7">
    <border/>
    <border>
      <left/>
      <top/>
      <bottom/>
    </border>
    <border>
      <top/>
      <bottom/>
    </border>
    <border>
      <left style="thin">
        <color rgb="FFBDC3C7"/>
      </left>
      <right style="thin">
        <color rgb="FFBDC3C7"/>
      </right>
      <top style="thin">
        <color rgb="FFBDC3C7"/>
      </top>
      <bottom style="thin">
        <color rgb="FFBDC3C7"/>
      </bottom>
    </border>
    <border>
      <left style="thin">
        <color rgb="FFBDC3C7"/>
      </left>
      <top style="thin">
        <color rgb="FFBDC3C7"/>
      </top>
      <bottom style="thin">
        <color rgb="FFBDC3C7"/>
      </bottom>
    </border>
    <border>
      <right style="thin">
        <color rgb="FFBDC3C7"/>
      </right>
      <top style="thin">
        <color rgb="FFBDC3C7"/>
      </top>
      <bottom style="thin">
        <color rgb="FFBDC3C7"/>
      </bottom>
    </border>
    <border>
      <top style="thin">
        <color rgb="FFBDC3C7"/>
      </top>
      <bottom style="thin">
        <color rgb="FFBDC3C7"/>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1" fillId="2" fontId="3" numFmtId="0" xfId="0" applyAlignment="1" applyBorder="1" applyFill="1" applyFont="1">
      <alignment horizontal="left" vertical="center"/>
    </xf>
    <xf borderId="1" fillId="3" fontId="4" numFmtId="0" xfId="0" applyAlignment="1" applyBorder="1" applyFill="1" applyFont="1">
      <alignment horizontal="left" vertical="center"/>
    </xf>
    <xf borderId="1" fillId="2" fontId="3" numFmtId="0" xfId="0" applyAlignment="1" applyBorder="1" applyFill="1" applyFont="1">
      <alignment horizontal="left" readingOrder="0" vertical="center"/>
    </xf>
    <xf borderId="3" fillId="2" fontId="5" numFmtId="0" xfId="0" applyAlignment="1" applyBorder="1" applyFill="1" applyFont="1">
      <alignment horizontal="center" shrinkToFit="0" vertical="center" wrapText="1"/>
    </xf>
    <xf borderId="1" fillId="3" fontId="6" numFmtId="0" xfId="0" applyAlignment="1" applyBorder="1" applyFill="1" applyFont="1">
      <alignment horizontal="left" readingOrder="0" vertical="center"/>
    </xf>
    <xf borderId="3" fillId="2" fontId="5" numFmtId="0" xfId="0" applyAlignment="1" applyBorder="1" applyFill="1" applyFont="1">
      <alignment horizontal="center" readingOrder="0" shrinkToFit="0" vertical="center" wrapText="1"/>
    </xf>
    <xf borderId="3" fillId="4" fontId="7" numFmtId="0" xfId="0" applyAlignment="1" applyBorder="1" applyFill="1" applyFont="1">
      <alignment horizontal="left" vertical="center"/>
    </xf>
    <xf borderId="2" fillId="3" fontId="6" numFmtId="0" xfId="0" applyAlignment="1" applyBorder="1" applyFill="1" applyFont="1">
      <alignment horizontal="left" readingOrder="0" vertical="center"/>
    </xf>
    <xf borderId="3" fillId="4" fontId="8" numFmtId="0" xfId="0" applyAlignment="1" applyBorder="1" applyFill="1" applyFont="1">
      <alignment horizontal="left" readingOrder="0" vertical="center"/>
    </xf>
    <xf borderId="4" fillId="2" fontId="9" numFmtId="0" xfId="0" applyAlignment="1" applyBorder="1" applyFill="1" applyFont="1">
      <alignment horizontal="center" vertical="center"/>
    </xf>
    <xf borderId="3" fillId="4" fontId="8" numFmtId="0" xfId="0" applyAlignment="1" applyBorder="1" applyFill="1" applyFont="1">
      <alignment horizontal="center" vertical="center"/>
    </xf>
    <xf borderId="5" fillId="0" fontId="2" numFmtId="0" xfId="0" applyBorder="1" applyFont="1"/>
    <xf borderId="4" fillId="2" fontId="9" numFmtId="0" xfId="0" applyAlignment="1" applyBorder="1" applyFill="1" applyFont="1">
      <alignment horizontal="center" readingOrder="0" vertical="center"/>
    </xf>
    <xf borderId="4" fillId="5" fontId="9" numFmtId="0" xfId="0" applyAlignment="1" applyBorder="1" applyFill="1" applyFont="1">
      <alignment horizontal="center" vertical="center"/>
    </xf>
    <xf borderId="4" fillId="6" fontId="9" numFmtId="0" xfId="0" applyAlignment="1" applyBorder="1" applyFill="1" applyFont="1">
      <alignment horizontal="center" vertical="center"/>
    </xf>
    <xf borderId="6" fillId="0" fontId="2" numFmtId="0" xfId="0" applyBorder="1" applyFont="1"/>
    <xf borderId="4" fillId="7" fontId="9" numFmtId="0" xfId="0" applyAlignment="1" applyBorder="1" applyFill="1" applyFont="1">
      <alignment horizontal="center" vertical="center"/>
    </xf>
    <xf borderId="4" fillId="3" fontId="9" numFmtId="0" xfId="0" applyAlignment="1" applyBorder="1" applyFill="1" applyFont="1">
      <alignment horizontal="center" vertical="center"/>
    </xf>
    <xf borderId="4" fillId="3" fontId="5" numFmtId="0" xfId="0" applyAlignment="1" applyBorder="1" applyFill="1" applyFont="1">
      <alignment horizontal="center" vertical="center"/>
    </xf>
    <xf borderId="4" fillId="7" fontId="5" numFmtId="0" xfId="0" applyAlignment="1" applyBorder="1" applyFill="1" applyFont="1">
      <alignment horizontal="center" vertical="center"/>
    </xf>
    <xf borderId="3" fillId="3" fontId="5" numFmtId="0" xfId="0" applyAlignment="1" applyBorder="1" applyFill="1" applyFont="1">
      <alignment horizontal="center" shrinkToFit="0" vertical="center" wrapText="1"/>
    </xf>
    <xf borderId="5" fillId="3" fontId="9" numFmtId="0" xfId="0" applyAlignment="1" applyBorder="1" applyFill="1" applyFont="1">
      <alignment horizontal="center" vertical="center"/>
    </xf>
    <xf borderId="3" fillId="3"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shrinkToFit="0" vertical="center" wrapText="1"/>
    </xf>
    <xf borderId="0" fillId="0" fontId="10" numFmtId="0" xfId="0" applyAlignment="1" applyFont="1">
      <alignment vertical="center"/>
    </xf>
    <xf borderId="3" fillId="4" fontId="8" numFmtId="0" xfId="0" applyAlignment="1" applyBorder="1" applyFill="1" applyFont="1">
      <alignment horizontal="center" readingOrder="0" shrinkToFit="0" vertical="center" wrapText="1"/>
    </xf>
    <xf borderId="3" fillId="4" fontId="8" numFmtId="0" xfId="0" applyAlignment="1" applyBorder="1" applyFill="1" applyFont="1">
      <alignment horizontal="left" readingOrder="0" shrinkToFit="0" vertical="center" wrapText="1"/>
    </xf>
    <xf borderId="3" fillId="4" fontId="8" numFmtId="0" xfId="0" applyAlignment="1" applyBorder="1" applyFill="1" applyFont="1">
      <alignment horizontal="center" shrinkToFit="0" vertical="center" wrapText="1"/>
    </xf>
    <xf borderId="3" fillId="4" fontId="8" numFmtId="0" xfId="0" applyAlignment="1" applyBorder="1" applyFill="1" applyFont="1">
      <alignment shrinkToFit="0" vertical="center" wrapText="1"/>
    </xf>
    <xf borderId="3" fillId="8" fontId="8" numFmtId="0" xfId="0" applyAlignment="1" applyBorder="1" applyFill="1" applyFont="1">
      <alignment horizontal="center" vertical="center"/>
    </xf>
    <xf borderId="3" fillId="4" fontId="8" numFmtId="0" xfId="0" applyAlignment="1" applyBorder="1" applyFill="1" applyFont="1">
      <alignment horizontal="center" shrinkToFit="0" wrapText="1"/>
    </xf>
    <xf borderId="3" fillId="9" fontId="11" numFmtId="0" xfId="0" applyAlignment="1" applyBorder="1" applyFill="1" applyFont="1">
      <alignment horizontal="center" shrinkToFit="0" vertical="center" wrapText="1"/>
    </xf>
    <xf borderId="3" fillId="4" fontId="8" numFmtId="0" xfId="0" applyAlignment="1" applyBorder="1" applyFill="1" applyFont="1">
      <alignment horizontal="left" shrinkToFit="0" vertical="center" wrapText="1"/>
    </xf>
    <xf borderId="3" fillId="4" fontId="8" numFmtId="0" xfId="0" applyAlignment="1" applyBorder="1" applyFill="1" applyFont="1">
      <alignment shrinkToFit="0" wrapText="1"/>
    </xf>
    <xf borderId="3" fillId="4" fontId="12" numFmtId="0" xfId="0" applyAlignment="1" applyBorder="1" applyFill="1" applyFont="1">
      <alignment horizontal="center" readingOrder="0" shrinkToFit="0" vertical="center" wrapText="1"/>
    </xf>
    <xf borderId="3" fillId="4" fontId="13" numFmtId="0" xfId="0" applyAlignment="1" applyBorder="1" applyFill="1" applyFont="1">
      <alignment vertical="center"/>
    </xf>
    <xf borderId="3" fillId="8" fontId="8" numFmtId="0" xfId="0" applyAlignment="1" applyBorder="1" applyFill="1" applyFont="1">
      <alignment horizontal="center" readingOrder="0" shrinkToFit="0" vertical="center" wrapText="1"/>
    </xf>
    <xf borderId="3" fillId="10" fontId="8" numFmtId="0" xfId="0" applyAlignment="1" applyBorder="1" applyFill="1" applyFont="1">
      <alignment horizontal="center" readingOrder="0" shrinkToFit="0" vertical="center" wrapText="1"/>
    </xf>
    <xf borderId="3" fillId="8" fontId="8" numFmtId="0" xfId="0" applyAlignment="1" applyBorder="1" applyFill="1" applyFont="1">
      <alignment horizontal="left" readingOrder="0" shrinkToFit="0" vertical="center" wrapText="1"/>
    </xf>
    <xf borderId="0" fillId="0" fontId="13" numFmtId="0" xfId="0" applyAlignment="1" applyFont="1">
      <alignment vertical="center"/>
    </xf>
    <xf borderId="3" fillId="8" fontId="8" numFmtId="0" xfId="0" applyAlignment="1" applyBorder="1" applyFill="1" applyFont="1">
      <alignment horizontal="left" shrinkToFit="0" vertical="center" wrapText="1"/>
    </xf>
    <xf borderId="3" fillId="8" fontId="8" numFmtId="0" xfId="0" applyAlignment="1" applyBorder="1" applyFill="1" applyFont="1">
      <alignment horizontal="center" shrinkToFit="0" vertical="center" wrapText="1"/>
    </xf>
    <xf borderId="3" fillId="11" fontId="14" numFmtId="0" xfId="0" applyAlignment="1" applyBorder="1" applyFill="1" applyFont="1">
      <alignment horizontal="center" shrinkToFit="0" wrapText="1"/>
    </xf>
    <xf borderId="3" fillId="9" fontId="11" numFmtId="0" xfId="0" applyAlignment="1" applyBorder="1" applyFill="1" applyFont="1">
      <alignment horizontal="center" shrinkToFit="0" wrapText="1"/>
    </xf>
    <xf borderId="3" fillId="4" fontId="13" numFmtId="0" xfId="0" applyBorder="1" applyFill="1" applyFont="1"/>
    <xf borderId="3" fillId="8" fontId="8" numFmtId="0" xfId="0" applyAlignment="1" applyBorder="1" applyFill="1" applyFont="1">
      <alignment shrinkToFit="0" vertical="center" wrapText="1"/>
    </xf>
    <xf borderId="3" fillId="4" fontId="7" numFmtId="0" xfId="0" applyAlignment="1" applyBorder="1" applyFill="1" applyFont="1">
      <alignment horizontal="left" readingOrder="0" vertical="center"/>
    </xf>
    <xf borderId="3" fillId="12" fontId="15" numFmtId="0" xfId="0" applyAlignment="1" applyBorder="1" applyFill="1" applyFont="1">
      <alignment horizontal="center" shrinkToFit="0" vertical="center" wrapText="1"/>
    </xf>
    <xf borderId="0" fillId="0" fontId="13" numFmtId="0" xfId="0" applyAlignment="1" applyFont="1">
      <alignment vertical="bottom"/>
    </xf>
    <xf borderId="3" fillId="8" fontId="13" numFmtId="0" xfId="0" applyAlignment="1" applyBorder="1" applyFill="1" applyFont="1">
      <alignment vertical="center"/>
    </xf>
    <xf borderId="3" fillId="8" fontId="8" numFmtId="0" xfId="0" applyAlignment="1" applyBorder="1" applyFill="1" applyFont="1">
      <alignment horizontal="center" shrinkToFit="0" wrapText="1"/>
    </xf>
    <xf borderId="3" fillId="8" fontId="8" numFmtId="0" xfId="0" applyAlignment="1" applyBorder="1" applyFill="1" applyFont="1">
      <alignment horizontal="center" readingOrder="0" shrinkToFit="0" wrapText="1"/>
    </xf>
    <xf borderId="3" fillId="8" fontId="8" numFmtId="0" xfId="0" applyAlignment="1" applyBorder="1" applyFill="1" applyFont="1">
      <alignment shrinkToFit="0" wrapText="1"/>
    </xf>
    <xf borderId="3" fillId="8" fontId="13" numFmtId="0" xfId="0" applyBorder="1" applyFill="1" applyFont="1"/>
    <xf borderId="3" fillId="8" fontId="13" numFmtId="0" xfId="0" applyBorder="1" applyFill="1" applyFont="1"/>
    <xf borderId="3" fillId="4" fontId="8" numFmtId="164" xfId="0" applyAlignment="1" applyBorder="1" applyFill="1" applyFont="1" applyNumberFormat="1">
      <alignment horizontal="center" readingOrder="0" shrinkToFit="0" vertical="center" wrapText="1"/>
    </xf>
    <xf borderId="3" fillId="4" fontId="8" numFmtId="0" xfId="0" applyAlignment="1" applyBorder="1" applyFill="1" applyFont="1">
      <alignment horizontal="center" shrinkToFit="0" wrapText="1"/>
    </xf>
    <xf borderId="3" fillId="4" fontId="13" numFmtId="0" xfId="0" applyBorder="1" applyFill="1" applyFont="1"/>
    <xf borderId="0" fillId="0" fontId="13" numFmtId="0" xfId="0" applyFont="1"/>
    <xf borderId="3" fillId="8" fontId="8" numFmtId="0" xfId="0" applyAlignment="1" applyBorder="1" applyFill="1" applyFont="1">
      <alignment horizontal="center" shrinkToFit="0" wrapText="1"/>
    </xf>
    <xf borderId="3" fillId="8" fontId="13" numFmtId="0" xfId="0" applyBorder="1" applyFill="1" applyFont="1"/>
    <xf borderId="3" fillId="10" fontId="13" numFmtId="0" xfId="0" applyBorder="1" applyFill="1" applyFont="1"/>
    <xf borderId="4" fillId="13" fontId="16" numFmtId="0" xfId="0" applyAlignment="1" applyBorder="1" applyFill="1" applyFont="1">
      <alignment horizontal="left" shrinkToFit="0" vertical="center" wrapText="1"/>
    </xf>
    <xf borderId="3" fillId="8" fontId="8" numFmtId="164" xfId="0" applyAlignment="1" applyBorder="1" applyFill="1" applyFont="1" applyNumberFormat="1">
      <alignment horizontal="center" readingOrder="0" shrinkToFit="0" vertical="center" wrapText="1"/>
    </xf>
    <xf borderId="1" fillId="3" fontId="6" numFmtId="0" xfId="0" applyAlignment="1" applyBorder="1" applyFill="1" applyFont="1">
      <alignment horizontal="left" vertical="center"/>
    </xf>
    <xf borderId="1" fillId="14" fontId="3" numFmtId="0" xfId="0" applyAlignment="1" applyBorder="1" applyFill="1" applyFont="1">
      <alignment horizontal="left" vertical="center"/>
    </xf>
    <xf borderId="3" fillId="14" fontId="5" numFmtId="0" xfId="0" applyAlignment="1" applyBorder="1" applyFill="1" applyFont="1">
      <alignment horizontal="center" shrinkToFit="0" vertical="center" wrapText="1"/>
    </xf>
    <xf borderId="3" fillId="4" fontId="7" numFmtId="0" xfId="0" applyAlignment="1" applyBorder="1" applyFill="1" applyFont="1">
      <alignment horizontal="left" shrinkToFit="0" vertical="center" wrapText="1"/>
    </xf>
    <xf borderId="3" fillId="8" fontId="7" numFmtId="0" xfId="0" applyAlignment="1" applyBorder="1" applyFill="1" applyFont="1">
      <alignment horizontal="left" shrinkToFit="0" vertical="center" wrapText="1"/>
    </xf>
    <xf borderId="3" fillId="10" fontId="7" numFmtId="0" xfId="0" applyAlignment="1" applyBorder="1" applyFill="1" applyFont="1">
      <alignment horizontal="left" readingOrder="0" vertical="center"/>
    </xf>
    <xf borderId="3" fillId="10" fontId="8" numFmtId="0" xfId="0" applyAlignment="1" applyBorder="1" applyFill="1" applyFont="1">
      <alignment horizontal="center" shrinkToFit="0" vertical="center" wrapText="1"/>
    </xf>
    <xf borderId="3" fillId="13" fontId="17" numFmtId="0" xfId="0" applyAlignment="1" applyBorder="1" applyFill="1" applyFont="1">
      <alignment horizontal="left" vertical="center"/>
    </xf>
    <xf borderId="3" fillId="13" fontId="17" numFmtId="0" xfId="0" applyAlignment="1" applyBorder="1" applyFill="1" applyFont="1">
      <alignment horizontal="center" vertical="center"/>
    </xf>
    <xf borderId="1" fillId="7" fontId="18" numFmtId="0" xfId="0" applyAlignment="1" applyBorder="1" applyFill="1" applyFont="1">
      <alignment horizontal="left" vertical="center"/>
    </xf>
    <xf borderId="3" fillId="4" fontId="8" numFmtId="9" xfId="0" applyAlignment="1" applyBorder="1" applyFill="1" applyFont="1" applyNumberFormat="1">
      <alignment horizontal="center" vertical="center"/>
    </xf>
    <xf borderId="3" fillId="8" fontId="8" numFmtId="9" xfId="0" applyAlignment="1" applyBorder="1" applyFill="1" applyFont="1" applyNumberFormat="1">
      <alignment horizontal="center" vertical="center"/>
    </xf>
    <xf borderId="3" fillId="10" fontId="8" numFmtId="9" xfId="0" applyAlignment="1" applyBorder="1" applyFill="1" applyFont="1" applyNumberFormat="1">
      <alignment horizontal="center" vertical="center"/>
    </xf>
    <xf borderId="3" fillId="10" fontId="8" numFmtId="0" xfId="0" applyAlignment="1" applyBorder="1" applyFill="1" applyFont="1">
      <alignment horizontal="center" vertical="center"/>
    </xf>
  </cellXfs>
  <cellStyles count="1">
    <cellStyle xfId="0" name="Normal" builtinId="0"/>
  </cellStyles>
  <dxfs count="6">
    <dxf>
      <font>
        <b/>
        <sz val="9.0"/>
        <color rgb="FF1E8449"/>
        <name val="Arial"/>
      </font>
      <fill>
        <patternFill patternType="solid">
          <fgColor rgb="FFD5F5E3"/>
          <bgColor rgb="FFD5F5E3"/>
        </patternFill>
      </fill>
      <border/>
    </dxf>
    <dxf>
      <font>
        <b/>
        <sz val="9.0"/>
        <color rgb="FFB7950B"/>
        <name val="Arial"/>
      </font>
      <fill>
        <patternFill patternType="solid">
          <fgColor rgb="FFFEF9E7"/>
          <bgColor rgb="FFFEF9E7"/>
        </patternFill>
      </fill>
      <border/>
    </dxf>
    <dxf>
      <font>
        <b/>
        <sz val="9.0"/>
        <color rgb="FFC0392B"/>
        <name val="Arial"/>
      </font>
      <fill>
        <patternFill patternType="solid">
          <fgColor rgb="FFFADBD8"/>
          <bgColor rgb="FFFADBD8"/>
        </patternFill>
      </fill>
      <border/>
    </dxf>
    <dxf>
      <font>
        <b/>
        <sz val="9.0"/>
        <color rgb="FFAAAAAA"/>
        <name val="Arial"/>
      </font>
      <fill>
        <patternFill patternType="solid">
          <fgColor rgb="FFFFFFFF"/>
          <bgColor rgb="FFFFFFFF"/>
        </patternFill>
      </fill>
      <border/>
    </dxf>
    <dxf>
      <font>
        <b/>
        <sz val="9.0"/>
        <color rgb="FF117A65"/>
        <name val="Arial"/>
      </font>
      <fill>
        <patternFill patternType="solid">
          <fgColor rgb="FFD1F2EB"/>
          <bgColor rgb="FFD1F2EB"/>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3A5F"/>
    <pageSetUpPr/>
  </sheetPr>
  <sheetViews>
    <sheetView showGridLines="0" workbookViewId="0"/>
  </sheetViews>
  <sheetFormatPr customHeight="1" defaultColWidth="14.43" defaultRowHeight="15.0"/>
  <cols>
    <col customWidth="1" min="1" max="1" width="32.71"/>
    <col customWidth="1" min="2" max="3" width="16.0"/>
    <col customWidth="1" min="4" max="6" width="14.0"/>
    <col customWidth="1" min="7" max="7" width="17.14"/>
    <col customWidth="1" min="8" max="9" width="14.0"/>
    <col customWidth="1" min="10" max="10" width="18.0"/>
  </cols>
  <sheetData>
    <row r="1" ht="4.5" customHeight="1"/>
    <row r="2" ht="43.5" customHeight="1">
      <c r="A2" s="1" t="s">
        <v>0</v>
      </c>
      <c r="B2" s="2"/>
      <c r="C2" s="2"/>
      <c r="D2" s="2"/>
      <c r="E2" s="2"/>
      <c r="F2" s="2"/>
      <c r="G2" s="2"/>
      <c r="H2" s="2"/>
      <c r="I2" s="2"/>
      <c r="J2" s="2"/>
    </row>
    <row r="3" ht="19.5" customHeight="1">
      <c r="A3" s="4" t="s">
        <v>4</v>
      </c>
      <c r="B3" s="2"/>
      <c r="C3" s="2"/>
      <c r="D3" s="2"/>
      <c r="E3" s="2"/>
      <c r="F3" s="2"/>
      <c r="G3" s="2"/>
      <c r="H3" s="2"/>
      <c r="I3" s="2"/>
      <c r="J3" s="2"/>
    </row>
    <row r="4" ht="4.5" customHeight="1"/>
    <row r="5" ht="33.75" customHeight="1">
      <c r="A5" s="6" t="s">
        <v>6</v>
      </c>
      <c r="B5" s="6" t="s">
        <v>7</v>
      </c>
      <c r="C5" s="8" t="s">
        <v>8</v>
      </c>
      <c r="D5" s="6" t="s">
        <v>12</v>
      </c>
      <c r="E5" s="6" t="s">
        <v>13</v>
      </c>
      <c r="F5" s="6" t="s">
        <v>14</v>
      </c>
      <c r="G5" s="8" t="s">
        <v>17</v>
      </c>
      <c r="H5" s="6" t="s">
        <v>18</v>
      </c>
      <c r="I5" s="6" t="s">
        <v>19</v>
      </c>
      <c r="J5" s="6" t="s">
        <v>20</v>
      </c>
    </row>
    <row r="6" ht="27.75" customHeight="1">
      <c r="A6" s="9" t="s">
        <v>2</v>
      </c>
      <c r="B6" s="11" t="s">
        <v>23</v>
      </c>
      <c r="C6" s="11" t="s">
        <v>25</v>
      </c>
      <c r="D6" s="13">
        <f>COUNTA(BNQ!$A$9:$A1003)</f>
        <v>10</v>
      </c>
      <c r="E6" s="13">
        <f>COUNTIF(BNQ!D9:D18,"✅ OK")</f>
        <v>0</v>
      </c>
      <c r="F6" s="13">
        <f>COUNTIF(BNQ!E9:E18,"✅ OK")</f>
        <v>0</v>
      </c>
      <c r="G6" s="13">
        <f>COUNTIF(BNQ!$F$9:$F1003,"✅ OK")</f>
        <v>2</v>
      </c>
      <c r="H6" s="13">
        <f>COUNTIF(BNQ!K9:K18,"✅ Aprovado")</f>
        <v>0</v>
      </c>
      <c r="I6" s="13">
        <f>COUNTIF(BNQ!K9:K18,"🔄 Em teste")</f>
        <v>0</v>
      </c>
      <c r="J6" s="13" t="str">
        <f>IF(COUNTIF(BNQ!D9:D18,"🔴 Não feito")+COUNTIF(BNQ!E9:E18,"🔴 Não feito")&gt;0,"🔴 Atenção",IF(COUNTIF(BNQ!D9:D18,"⚠️ Incompleto")+COUNTIF(BNQ!E9:E18,"⚠️ Incompleto")&gt;0,"⚠️ Verificar","🟢 OK"))</f>
        <v>🔴 Atenção</v>
      </c>
    </row>
    <row r="7" ht="27.75" customHeight="1">
      <c r="A7" s="9" t="s">
        <v>1</v>
      </c>
      <c r="B7" s="11" t="s">
        <v>26</v>
      </c>
      <c r="C7" s="11" t="s">
        <v>25</v>
      </c>
      <c r="D7" s="13">
        <f>COUNTA(SPJ!$A$9:$A1003)</f>
        <v>11</v>
      </c>
      <c r="E7" s="13">
        <f>COUNTIF(SPJ!D9:D16,"✅ OK")</f>
        <v>8</v>
      </c>
      <c r="F7" s="13">
        <f>COUNTIF(SPJ!E9:E16,"✅ OK")</f>
        <v>8</v>
      </c>
      <c r="G7" s="13">
        <f>COUNTIF(SPJ!$F$9:$F1003,"✅ OK")</f>
        <v>2</v>
      </c>
      <c r="H7" s="13">
        <f>COUNTIF(SPJ!K9:K16,"✅ Aprovado")</f>
        <v>0</v>
      </c>
      <c r="I7" s="13">
        <f>COUNTIF(SPJ!K9:K16,"🔄 Em teste")</f>
        <v>0</v>
      </c>
      <c r="J7" s="32" t="str">
        <f>IF(COUNTIF(SPJ!D9:D16,"🔴 Não feito")+COUNTIF(SPJ!E9:E16,"🔴 Não feito")&gt;0,"🔴 Atenção",IF(COUNTIF(SPJ!D9:D16,"⚠️ Incompleto")+COUNTIF(SPJ!E9:E16,"⚠️ Incompleto")&gt;0,"⚠️ Verificar","🟢 OK"))</f>
        <v>🟢 OK</v>
      </c>
    </row>
    <row r="8" ht="27.75" customHeight="1">
      <c r="A8" s="9" t="s">
        <v>46</v>
      </c>
      <c r="B8" s="11" t="s">
        <v>25</v>
      </c>
      <c r="C8" s="11" t="s">
        <v>48</v>
      </c>
      <c r="D8" s="13">
        <f>COUNTA('EZ2'!$A$9:$A1003)</f>
        <v>9</v>
      </c>
      <c r="E8" s="13">
        <f>COUNTIF('EZ2'!D9:D15,"✅ OK")</f>
        <v>7</v>
      </c>
      <c r="F8" s="13">
        <f>COUNTIF('EZ2'!E9:E15,"✅ OK")</f>
        <v>7</v>
      </c>
      <c r="G8" s="13">
        <f>COUNTIF('EZ2'!$F$9:$F1003,"✅ OK")</f>
        <v>4</v>
      </c>
      <c r="H8" s="13">
        <f>COUNTIF('EZ2'!$K$9:$K1003,"✅ Aprovado")</f>
        <v>0</v>
      </c>
      <c r="I8" s="13">
        <f>COUNTIF('EZ2'!$K$9:$K1003,"🔄 Em teste")</f>
        <v>0</v>
      </c>
      <c r="J8" s="13" t="str">
        <f>IF(COUNTIF('EZ2'!D9:D15,"🔴 Não feito")+COUNTIF('EZ2'!E9:E15,"🔴 Não feito")&gt;0,"🔴 Atenção",IF(COUNTIF('EZ2'!D9:D15,"⚠️ Incompleto")+COUNTIF('EZ2'!E9:E15,"⚠️ Incompleto")&gt;0,"⚠️ Verificar","🟢 OK"))</f>
        <v>🟢 OK</v>
      </c>
    </row>
    <row r="9" ht="27.75" customHeight="1">
      <c r="A9" s="49" t="s">
        <v>75</v>
      </c>
      <c r="B9" s="11" t="s">
        <v>79</v>
      </c>
      <c r="C9" s="11" t="s">
        <v>26</v>
      </c>
      <c r="D9" s="13">
        <f>COUNTA(AENTS!$A$9:$A1003)</f>
        <v>4</v>
      </c>
      <c r="E9" s="13">
        <f>COUNTIF(AENTS!$D$9:$D1003,"✅ OK")</f>
        <v>4</v>
      </c>
      <c r="F9" s="13">
        <f>COUNTIF(AENTS!$E$9:$E1003,"✅ OK")</f>
        <v>0</v>
      </c>
      <c r="G9" s="13">
        <f>COUNTIF(AENTS!$F$9:$F1003,"✅ OK")</f>
        <v>2</v>
      </c>
      <c r="H9" s="13">
        <f>COUNTIF(AENTS!$K$9:$K1003,"✅ Aprovado")</f>
        <v>0</v>
      </c>
      <c r="I9" s="13">
        <f>COUNTIF(AENTS!$K$9:$K1003,"🔄 Em teste")</f>
        <v>0</v>
      </c>
      <c r="J9" s="13" t="str">
        <f>IF(COUNTIF(AENTS!$D$9:$D1003,"🔴 Não feito")+COUNTIF(AENTS!$E$9:$E1003,"🔴 Não feito")&gt;0,"🔴 Atenção",IF(COUNTIF(AENTS!$D$9:$D1003,"⚠️ Incompleto")+COUNTIF(AENTS!$E$9:$E1003,"⚠️ Incompleto")&gt;0,"⚠️ Verificar","🟢 OK"))</f>
        <v>🔴 Atenção</v>
      </c>
    </row>
    <row r="10" ht="27.75" customHeight="1">
      <c r="A10" s="49" t="s">
        <v>111</v>
      </c>
      <c r="B10" s="11" t="s">
        <v>112</v>
      </c>
      <c r="C10" s="11" t="s">
        <v>48</v>
      </c>
      <c r="D10" s="13">
        <f>COUNTA(Rotulare!$A$9:$A1003)</f>
        <v>20</v>
      </c>
      <c r="E10" s="13">
        <f>COUNTIF(Rotulare!$D$9:$D1003,"✅ OK")</f>
        <v>17</v>
      </c>
      <c r="F10" s="13">
        <f>COUNTIF(Rotulare!$E$9:$E1003,"✅ OK")</f>
        <v>20</v>
      </c>
      <c r="G10" s="13">
        <f>COUNTIF(Rotulare!$F$9:$F1003,"✅ OK")</f>
        <v>15</v>
      </c>
      <c r="H10" s="13">
        <f>COUNTIF(Rotulare!$K$9:$K1003,"✅ Aprovado")</f>
        <v>0</v>
      </c>
      <c r="I10" s="13">
        <f>COUNTIF(AENTS!$K$9:$K1003,"🔄 Em teste")</f>
        <v>0</v>
      </c>
      <c r="J10" s="13" t="str">
        <f>IF(COUNTIF(Rotulare!$D$9:$D1003,"🔴 Não feito")+COUNTIF(Rotulare!$E$9:$E1003,"🔴 Não feito")&gt;0,"🔴 Atenção",IF(COUNTIF(Rotulare!$D$9:$D1003,"⚠️ Incompleto")+COUNTIF(Rotulare!$E$9:$E1003,"⚠️ Incompleto")&gt;0,"⚠️ Verificar","🟢 OK"))</f>
        <v>🔴 Atenção</v>
      </c>
    </row>
    <row r="11" ht="27.75" customHeight="1">
      <c r="A11" s="49" t="s">
        <v>136</v>
      </c>
      <c r="B11" s="11" t="s">
        <v>112</v>
      </c>
      <c r="C11" s="11" t="s">
        <v>26</v>
      </c>
      <c r="D11" s="13">
        <f>COUNTA(ODD!$A$9:$A1003)</f>
        <v>3</v>
      </c>
      <c r="E11" s="13">
        <f>COUNTIF(ODD!$D$9:$D1003,"✅ OK")</f>
        <v>0</v>
      </c>
      <c r="F11" s="13">
        <f>COUNTIF(ODD!$E$9:$E1003,"✅ OK")</f>
        <v>0</v>
      </c>
      <c r="G11" s="13">
        <f>COUNTIF(ODD!$F$9:$F1003,"✅ OK")</f>
        <v>0</v>
      </c>
      <c r="H11" s="13">
        <f>COUNTIF(ODD!$K$9:$K1003,"✅ Aprovado")</f>
        <v>0</v>
      </c>
      <c r="I11" s="13">
        <f>COUNTIF(ODD!$K$9:$K1003,"🔄 Em teste")</f>
        <v>0</v>
      </c>
      <c r="J11" s="13" t="str">
        <f>IF(COUNTIF(ODD!$D$9:$D1003,"🔴 Não feito")+COUNTIF(ODD!$E$9:$E1003,"🔴 Não feito")&gt;0,"🔴 Atenção",IF(COUNTIF(ODD!$D$9:$D1003,"⚠️ Incompleto")+COUNTIF(ODD!$E$9:$E1003,"⚠️ Incompleto")&gt;0,"⚠️ Verificar","🟢 OK"))</f>
        <v>🟢 OK</v>
      </c>
    </row>
    <row r="13" ht="39.75" customHeight="1">
      <c r="A13" s="65" t="s">
        <v>137</v>
      </c>
      <c r="B13" s="18"/>
      <c r="C13" s="18"/>
      <c r="D13" s="18"/>
      <c r="E13" s="18"/>
      <c r="F13" s="18"/>
      <c r="G13" s="18"/>
      <c r="H13" s="18"/>
      <c r="I13" s="18"/>
      <c r="J13" s="1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
    <mergeCell ref="A2:J2"/>
    <mergeCell ref="A3:J3"/>
    <mergeCell ref="A13:J13"/>
  </mergeCells>
  <conditionalFormatting sqref="J6:J11">
    <cfRule type="cellIs" dxfId="0" priority="1" operator="equal">
      <formula>"🟢 OK"</formula>
    </cfRule>
  </conditionalFormatting>
  <conditionalFormatting sqref="J6:J11">
    <cfRule type="cellIs" dxfId="1" priority="2" operator="equal">
      <formula>"⚠️ Verificar"</formula>
    </cfRule>
  </conditionalFormatting>
  <conditionalFormatting sqref="J6:J11">
    <cfRule type="cellIs" dxfId="2" priority="3" operator="equal">
      <formula>"🔴 Atenção"</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8D"/>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16.0"/>
    <col customWidth="1" min="3" max="3" width="30.0"/>
    <col customWidth="1" min="4" max="5" width="14.0"/>
    <col customWidth="1" min="6" max="8" width="28.0"/>
    <col customWidth="1" min="9" max="9" width="20.0"/>
    <col customWidth="1" min="10" max="10" width="22.0"/>
    <col customWidth="1" min="11" max="11" width="16.0"/>
    <col customWidth="1" min="12" max="12" width="24.0"/>
  </cols>
  <sheetData>
    <row r="1" ht="4.5" customHeight="1"/>
    <row r="2" ht="37.5" customHeight="1">
      <c r="A2" s="3" t="s">
        <v>2</v>
      </c>
      <c r="B2" s="2"/>
      <c r="C2" s="2"/>
      <c r="D2" s="2"/>
      <c r="E2" s="2"/>
      <c r="F2" s="2"/>
      <c r="G2" s="2"/>
      <c r="H2" s="2"/>
      <c r="I2" s="2"/>
      <c r="J2" s="2"/>
      <c r="K2" s="2"/>
      <c r="L2" s="2"/>
    </row>
    <row r="3" ht="19.5" customHeight="1">
      <c r="A3" s="7" t="s">
        <v>5</v>
      </c>
      <c r="B3" s="2"/>
      <c r="C3" s="2"/>
      <c r="D3" s="7" t="s">
        <v>10</v>
      </c>
      <c r="E3" s="2"/>
      <c r="F3" s="2"/>
      <c r="G3" s="2"/>
      <c r="H3" s="2"/>
      <c r="I3" s="7" t="s">
        <v>15</v>
      </c>
      <c r="J3" s="2"/>
      <c r="K3" s="10" t="s">
        <v>21</v>
      </c>
      <c r="L3" s="2"/>
    </row>
    <row r="4" ht="4.5" customHeight="1"/>
    <row r="5" ht="27.75" customHeight="1">
      <c r="A5" s="12" t="str">
        <f>"Sprints: " &amp; COUNTA($A$9:$A1000)</f>
        <v>Sprints: 10</v>
      </c>
      <c r="B5" s="14"/>
      <c r="C5" s="16" t="str">
        <f>COUNTIF($D$9:$D1000,"✅ OK")&amp;"/" &amp; COUNTA($D$9:$D1000) &amp; "Pipefy ✅"</f>
        <v>0/10Pipefy ✅</v>
      </c>
      <c r="D5" s="14"/>
      <c r="E5" s="17" t="str">
        <f>COUNTIF($E$9:$E1000,"✅ OK")&amp;"/" &amp; COUNTA($D$9:$D1000) &amp; "ATA ✅"</f>
        <v>0/10ATA ✅</v>
      </c>
      <c r="F5" s="14"/>
      <c r="G5" s="19" t="str">
        <f>COUNTIF($J$9:$J1000,"✅ Aprovado")&amp;" aprovados 🧪"</f>
        <v>0 aprovados 🧪</v>
      </c>
      <c r="H5" s="14"/>
      <c r="I5" s="20" t="str">
        <f>COUNTIF($J$9:$J1000,"🔄 Em teste")&amp;" em teste 🔄"</f>
        <v>0 em teste 🔄</v>
      </c>
      <c r="J5" s="18"/>
      <c r="K5" s="14"/>
      <c r="L5" s="24"/>
    </row>
    <row r="6" ht="4.5" customHeight="1"/>
    <row r="7" ht="13.5" customHeight="1">
      <c r="A7" s="21" t="s">
        <v>27</v>
      </c>
      <c r="B7" s="18"/>
      <c r="C7" s="18"/>
      <c r="D7" s="18"/>
      <c r="E7" s="18"/>
      <c r="F7" s="18"/>
      <c r="G7" s="14"/>
      <c r="H7" s="22" t="s">
        <v>28</v>
      </c>
      <c r="I7" s="18"/>
      <c r="J7" s="18"/>
      <c r="K7" s="18"/>
      <c r="L7" s="14"/>
    </row>
    <row r="8" ht="36.0" customHeight="1">
      <c r="A8" s="6" t="s">
        <v>29</v>
      </c>
      <c r="B8" s="6" t="s">
        <v>30</v>
      </c>
      <c r="C8" s="6" t="s">
        <v>31</v>
      </c>
      <c r="D8" s="23" t="s">
        <v>32</v>
      </c>
      <c r="E8" s="23" t="s">
        <v>33</v>
      </c>
      <c r="F8" s="25" t="s">
        <v>34</v>
      </c>
      <c r="G8" s="23" t="s">
        <v>35</v>
      </c>
      <c r="H8" s="26" t="s">
        <v>36</v>
      </c>
      <c r="I8" s="26" t="s">
        <v>37</v>
      </c>
      <c r="J8" s="26" t="s">
        <v>38</v>
      </c>
      <c r="K8" s="26" t="s">
        <v>39</v>
      </c>
      <c r="L8" s="26" t="s">
        <v>40</v>
      </c>
    </row>
    <row r="9">
      <c r="A9" s="33">
        <v>1.0</v>
      </c>
      <c r="B9" s="33" t="s">
        <v>49</v>
      </c>
      <c r="C9" s="36" t="s">
        <v>52</v>
      </c>
      <c r="D9" s="45" t="s">
        <v>53</v>
      </c>
      <c r="E9" s="45" t="s">
        <v>53</v>
      </c>
      <c r="F9" s="46" t="s">
        <v>47</v>
      </c>
      <c r="G9" s="36" t="s">
        <v>68</v>
      </c>
      <c r="H9" s="47"/>
      <c r="I9" s="47"/>
      <c r="J9" s="47"/>
      <c r="K9" s="47"/>
      <c r="L9" s="47"/>
      <c r="M9" s="51"/>
      <c r="N9" s="51"/>
      <c r="O9" s="51"/>
      <c r="P9" s="51"/>
      <c r="Q9" s="51"/>
      <c r="R9" s="51"/>
      <c r="S9" s="51"/>
      <c r="T9" s="51"/>
      <c r="U9" s="51"/>
      <c r="V9" s="51"/>
      <c r="W9" s="51"/>
      <c r="X9" s="51"/>
      <c r="Y9" s="51"/>
      <c r="Z9" s="51"/>
      <c r="AA9" s="51"/>
    </row>
    <row r="10">
      <c r="A10" s="53">
        <v>2.0</v>
      </c>
      <c r="B10" s="54" t="s">
        <v>94</v>
      </c>
      <c r="C10" s="55" t="s">
        <v>97</v>
      </c>
      <c r="D10" s="45" t="s">
        <v>53</v>
      </c>
      <c r="E10" s="45" t="s">
        <v>53</v>
      </c>
      <c r="F10" s="46" t="s">
        <v>47</v>
      </c>
      <c r="G10" s="55" t="s">
        <v>99</v>
      </c>
      <c r="H10" s="56"/>
      <c r="I10" s="56"/>
      <c r="J10" s="56"/>
      <c r="K10" s="57"/>
      <c r="L10" s="56"/>
      <c r="M10" s="51"/>
      <c r="N10" s="51"/>
      <c r="O10" s="51"/>
      <c r="P10" s="51"/>
      <c r="Q10" s="51"/>
      <c r="R10" s="51"/>
      <c r="S10" s="51"/>
      <c r="T10" s="51"/>
      <c r="U10" s="51"/>
      <c r="V10" s="51"/>
      <c r="W10" s="51"/>
      <c r="X10" s="51"/>
      <c r="Y10" s="51"/>
      <c r="Z10" s="51"/>
      <c r="AA10" s="51"/>
    </row>
    <row r="11">
      <c r="A11" s="28">
        <v>3.0</v>
      </c>
      <c r="B11" s="28" t="s">
        <v>102</v>
      </c>
      <c r="C11" s="29" t="s">
        <v>103</v>
      </c>
      <c r="D11" s="28" t="s">
        <v>50</v>
      </c>
      <c r="E11" s="28" t="s">
        <v>50</v>
      </c>
      <c r="F11" s="28" t="s">
        <v>50</v>
      </c>
      <c r="G11" s="29" t="s">
        <v>105</v>
      </c>
      <c r="H11" s="35"/>
      <c r="I11" s="30"/>
      <c r="J11" s="30"/>
      <c r="K11" s="28"/>
      <c r="L11" s="35"/>
    </row>
    <row r="12">
      <c r="A12" s="39">
        <v>4.0</v>
      </c>
      <c r="B12" s="39" t="s">
        <v>109</v>
      </c>
      <c r="C12" s="39" t="s">
        <v>110</v>
      </c>
      <c r="D12" s="39" t="s">
        <v>50</v>
      </c>
      <c r="E12" s="39" t="s">
        <v>50</v>
      </c>
      <c r="F12" s="40" t="s">
        <v>50</v>
      </c>
      <c r="G12" s="41" t="s">
        <v>114</v>
      </c>
      <c r="H12" s="43"/>
      <c r="I12" s="44"/>
      <c r="J12" s="44"/>
      <c r="K12" s="39"/>
      <c r="L12" s="43"/>
    </row>
    <row r="13">
      <c r="A13" s="28">
        <v>5.0</v>
      </c>
      <c r="B13" s="28" t="s">
        <v>117</v>
      </c>
      <c r="C13" s="28" t="s">
        <v>110</v>
      </c>
      <c r="D13" s="28" t="s">
        <v>50</v>
      </c>
      <c r="E13" s="28" t="s">
        <v>50</v>
      </c>
      <c r="F13" s="28" t="s">
        <v>50</v>
      </c>
      <c r="G13" s="29" t="s">
        <v>119</v>
      </c>
      <c r="H13" s="35"/>
      <c r="I13" s="30"/>
      <c r="J13" s="30"/>
      <c r="K13" s="28"/>
      <c r="L13" s="35"/>
    </row>
    <row r="14">
      <c r="A14" s="39">
        <v>6.0</v>
      </c>
      <c r="B14" s="39" t="s">
        <v>121</v>
      </c>
      <c r="C14" s="44"/>
      <c r="D14" s="39" t="s">
        <v>50</v>
      </c>
      <c r="E14" s="39" t="s">
        <v>50</v>
      </c>
      <c r="F14" s="40" t="s">
        <v>50</v>
      </c>
      <c r="G14" s="39" t="s">
        <v>123</v>
      </c>
      <c r="H14" s="44"/>
      <c r="I14" s="44"/>
      <c r="J14" s="44"/>
      <c r="K14" s="44"/>
      <c r="L14" s="44"/>
    </row>
    <row r="15">
      <c r="A15" s="28">
        <v>7.0</v>
      </c>
      <c r="B15" s="28" t="s">
        <v>125</v>
      </c>
      <c r="C15" s="30"/>
      <c r="D15" s="28" t="s">
        <v>50</v>
      </c>
      <c r="E15" s="28" t="s">
        <v>50</v>
      </c>
      <c r="F15" s="28" t="s">
        <v>50</v>
      </c>
      <c r="G15" s="28" t="s">
        <v>127</v>
      </c>
      <c r="H15" s="30"/>
      <c r="I15" s="30"/>
      <c r="J15" s="30"/>
      <c r="K15" s="30"/>
      <c r="L15" s="30"/>
    </row>
    <row r="16">
      <c r="A16" s="39">
        <v>8.0</v>
      </c>
      <c r="B16" s="39" t="s">
        <v>129</v>
      </c>
      <c r="C16" s="44"/>
      <c r="D16" s="39" t="s">
        <v>50</v>
      </c>
      <c r="E16" s="39" t="s">
        <v>50</v>
      </c>
      <c r="F16" s="40" t="s">
        <v>50</v>
      </c>
      <c r="G16" s="39" t="s">
        <v>131</v>
      </c>
      <c r="H16" s="44"/>
      <c r="I16" s="44"/>
      <c r="J16" s="44"/>
      <c r="K16" s="44"/>
      <c r="L16" s="44"/>
    </row>
    <row r="17">
      <c r="A17" s="28">
        <v>9.0</v>
      </c>
      <c r="B17" s="58">
        <v>46225.0</v>
      </c>
      <c r="C17" s="30"/>
      <c r="D17" s="28" t="s">
        <v>50</v>
      </c>
      <c r="E17" s="28" t="s">
        <v>50</v>
      </c>
      <c r="F17" s="28" t="s">
        <v>50</v>
      </c>
      <c r="G17" s="28" t="s">
        <v>133</v>
      </c>
      <c r="H17" s="30"/>
      <c r="I17" s="30"/>
      <c r="J17" s="30"/>
      <c r="K17" s="30"/>
      <c r="L17" s="30"/>
    </row>
    <row r="18">
      <c r="A18" s="39">
        <v>10.0</v>
      </c>
      <c r="B18" s="39" t="s">
        <v>134</v>
      </c>
      <c r="C18" s="44"/>
      <c r="D18" s="39" t="s">
        <v>50</v>
      </c>
      <c r="E18" s="39" t="s">
        <v>50</v>
      </c>
      <c r="F18" s="40" t="s">
        <v>50</v>
      </c>
      <c r="G18" s="39" t="s">
        <v>135</v>
      </c>
      <c r="H18" s="44"/>
      <c r="I18" s="44"/>
      <c r="J18" s="44"/>
      <c r="K18" s="44"/>
      <c r="L18"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F5"/>
    <mergeCell ref="G5:H5"/>
    <mergeCell ref="A7:G7"/>
    <mergeCell ref="H7:L7"/>
    <mergeCell ref="A2:L2"/>
    <mergeCell ref="A3:C3"/>
    <mergeCell ref="D3:H3"/>
    <mergeCell ref="I3:J3"/>
    <mergeCell ref="K3:L3"/>
    <mergeCell ref="A5:B5"/>
    <mergeCell ref="C5:D5"/>
    <mergeCell ref="I5:K5"/>
  </mergeCells>
  <conditionalFormatting sqref="D9:D18">
    <cfRule type="cellIs" dxfId="0" priority="1" operator="equal">
      <formula>"✅ OK"</formula>
    </cfRule>
  </conditionalFormatting>
  <conditionalFormatting sqref="D9:D18">
    <cfRule type="cellIs" dxfId="1" priority="2" operator="equal">
      <formula>"⚠️ Incompleto"</formula>
    </cfRule>
  </conditionalFormatting>
  <conditionalFormatting sqref="D9:D18">
    <cfRule type="cellIs" dxfId="2" priority="3" operator="equal">
      <formula>"🔴 Não feito"</formula>
    </cfRule>
  </conditionalFormatting>
  <conditionalFormatting sqref="D9:D18">
    <cfRule type="cellIs" dxfId="3" priority="4" operator="equal">
      <formula>"—"</formula>
    </cfRule>
  </conditionalFormatting>
  <conditionalFormatting sqref="E9:F18">
    <cfRule type="cellIs" dxfId="0" priority="5" operator="equal">
      <formula>"✅ OK"</formula>
    </cfRule>
  </conditionalFormatting>
  <conditionalFormatting sqref="E9:F18">
    <cfRule type="cellIs" dxfId="1" priority="6" operator="equal">
      <formula>"⚠️ Incompleto"</formula>
    </cfRule>
  </conditionalFormatting>
  <conditionalFormatting sqref="E9:F18">
    <cfRule type="cellIs" dxfId="2" priority="7" operator="equal">
      <formula>"🔴 Não feito"</formula>
    </cfRule>
  </conditionalFormatting>
  <conditionalFormatting sqref="E9:F18">
    <cfRule type="cellIs" dxfId="3" priority="8" operator="equal">
      <formula>"—"</formula>
    </cfRule>
  </conditionalFormatting>
  <conditionalFormatting sqref="K9:K18">
    <cfRule type="cellIs" dxfId="0" priority="9" operator="equal">
      <formula>"✅ Aprovado"</formula>
    </cfRule>
  </conditionalFormatting>
  <conditionalFormatting sqref="K9:K18">
    <cfRule type="cellIs" dxfId="4" priority="10" operator="equal">
      <formula>"🔄 Em teste"</formula>
    </cfRule>
  </conditionalFormatting>
  <conditionalFormatting sqref="K9:K18">
    <cfRule type="cellIs" dxfId="1" priority="11" operator="equal">
      <formula>"⏳ Aguardando"</formula>
    </cfRule>
  </conditionalFormatting>
  <conditionalFormatting sqref="K9:K18">
    <cfRule type="cellIs" dxfId="2" priority="12" operator="equal">
      <formula>"🔴 Reprovado"</formula>
    </cfRule>
  </conditionalFormatting>
  <conditionalFormatting sqref="K9:K18">
    <cfRule type="cellIs" dxfId="3" priority="13" operator="equal">
      <formula>"—"</formula>
    </cfRule>
  </conditionalFormatting>
  <conditionalFormatting sqref="L10">
    <cfRule type="notContainsBlanks" dxfId="5" priority="14">
      <formula>LEN(TRIM(L10))&gt;0</formula>
    </cfRule>
  </conditionalFormatting>
  <dataValidations>
    <dataValidation type="list" allowBlank="1" sqref="D9:F18">
      <formula1>"✅ OK,⚠️ Incompleto,🔴 Não feito,—"</formula1>
    </dataValidation>
    <dataValidation type="list" allowBlank="1" sqref="K9:K18">
      <formula1>"✅ Aprovado,🔄 Em teste,⏳ Aguardando,🔴 Reprovado,—"</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6A39"/>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16.0"/>
    <col customWidth="1" min="3" max="3" width="30.0"/>
    <col customWidth="1" min="4" max="5" width="14.0"/>
    <col customWidth="1" min="6" max="8" width="28.0"/>
    <col customWidth="1" min="9" max="9" width="20.0"/>
    <col customWidth="1" min="10" max="10" width="22.0"/>
    <col customWidth="1" min="11" max="11" width="16.0"/>
    <col customWidth="1" min="12" max="12" width="24.0"/>
  </cols>
  <sheetData>
    <row r="1" ht="4.5" customHeight="1"/>
    <row r="2" ht="37.5" customHeight="1">
      <c r="A2" s="3" t="s">
        <v>1</v>
      </c>
      <c r="B2" s="2"/>
      <c r="C2" s="2"/>
      <c r="D2" s="2"/>
      <c r="E2" s="2"/>
      <c r="F2" s="2"/>
      <c r="G2" s="2"/>
      <c r="H2" s="2"/>
      <c r="I2" s="2"/>
      <c r="J2" s="2"/>
      <c r="K2" s="2"/>
      <c r="L2" s="2"/>
    </row>
    <row r="3" ht="19.5" customHeight="1">
      <c r="A3" s="7" t="s">
        <v>22</v>
      </c>
      <c r="B3" s="2"/>
      <c r="C3" s="2"/>
      <c r="D3" s="7" t="s">
        <v>10</v>
      </c>
      <c r="E3" s="2"/>
      <c r="F3" s="2"/>
      <c r="G3" s="2"/>
      <c r="H3" s="2"/>
      <c r="I3" s="7" t="s">
        <v>24</v>
      </c>
      <c r="J3" s="2"/>
      <c r="K3" s="2"/>
      <c r="L3" s="2"/>
    </row>
    <row r="4" ht="4.5" customHeight="1"/>
    <row r="5" ht="27.75" customHeight="1">
      <c r="A5" s="12" t="str">
        <f>"Sprints: " &amp; COUNTA($A$9:$A998)</f>
        <v>Sprints: 11</v>
      </c>
      <c r="B5" s="14"/>
      <c r="C5" s="16" t="str">
        <f>COUNTIF($D$9:$D998,"✅ OK")&amp;"/" &amp; COUNTA($D$9:$D998) &amp; "Pipefy ✅"</f>
        <v>11/11Pipefy ✅</v>
      </c>
      <c r="D5" s="14"/>
      <c r="E5" s="17" t="str">
        <f>COUNTIF($E$9:$E998,"✅ OK")&amp;"/" &amp; COUNTA($D$9:$D998) &amp; "ATA ✅"</f>
        <v>9/11ATA ✅</v>
      </c>
      <c r="F5" s="18"/>
      <c r="G5" s="14"/>
      <c r="H5" s="19" t="str">
        <f>COUNTIF($K$9:$K998,"✅ Aprovado")&amp;" aprovados 🧪"</f>
        <v>0 aprovados 🧪</v>
      </c>
      <c r="I5" s="14"/>
      <c r="J5" s="20" t="str">
        <f>COUNTIF($K$9:$K998,"🔄 Em teste")&amp;" em teste 🔄"</f>
        <v>0 em teste 🔄</v>
      </c>
      <c r="K5" s="18"/>
      <c r="L5" s="14"/>
    </row>
    <row r="6" ht="4.5" customHeight="1"/>
    <row r="7" ht="13.5" customHeight="1">
      <c r="A7" s="21" t="s">
        <v>27</v>
      </c>
      <c r="B7" s="18"/>
      <c r="C7" s="18"/>
      <c r="D7" s="18"/>
      <c r="E7" s="18"/>
      <c r="F7" s="18"/>
      <c r="G7" s="14"/>
      <c r="H7" s="22" t="s">
        <v>28</v>
      </c>
      <c r="I7" s="18"/>
      <c r="J7" s="18"/>
      <c r="K7" s="18"/>
      <c r="L7" s="14"/>
    </row>
    <row r="8" ht="36.0" customHeight="1">
      <c r="A8" s="6" t="s">
        <v>29</v>
      </c>
      <c r="B8" s="6" t="s">
        <v>30</v>
      </c>
      <c r="C8" s="6" t="s">
        <v>31</v>
      </c>
      <c r="D8" s="23" t="s">
        <v>32</v>
      </c>
      <c r="E8" s="23" t="s">
        <v>33</v>
      </c>
      <c r="F8" s="25" t="s">
        <v>34</v>
      </c>
      <c r="G8" s="23" t="s">
        <v>35</v>
      </c>
      <c r="H8" s="26" t="s">
        <v>36</v>
      </c>
      <c r="I8" s="26" t="s">
        <v>37</v>
      </c>
      <c r="J8" s="26" t="s">
        <v>38</v>
      </c>
      <c r="K8" s="26" t="s">
        <v>39</v>
      </c>
      <c r="L8" s="26" t="s">
        <v>40</v>
      </c>
      <c r="M8" s="27"/>
      <c r="N8" s="27"/>
      <c r="O8" s="27"/>
      <c r="P8" s="27"/>
      <c r="Q8" s="27"/>
      <c r="R8" s="27"/>
      <c r="S8" s="27"/>
      <c r="T8" s="27"/>
      <c r="U8" s="27"/>
      <c r="V8" s="27"/>
      <c r="W8" s="27"/>
      <c r="X8" s="27"/>
      <c r="Y8" s="27"/>
      <c r="Z8" s="27"/>
      <c r="AA8" s="27"/>
    </row>
    <row r="9">
      <c r="A9" s="30">
        <v>1.0</v>
      </c>
      <c r="B9" s="30" t="s">
        <v>44</v>
      </c>
      <c r="C9" s="31" t="s">
        <v>45</v>
      </c>
      <c r="D9" s="34" t="s">
        <v>47</v>
      </c>
      <c r="E9" s="34" t="s">
        <v>47</v>
      </c>
      <c r="F9" s="37" t="s">
        <v>53</v>
      </c>
      <c r="G9" s="31" t="s">
        <v>54</v>
      </c>
      <c r="H9" s="38"/>
      <c r="I9" s="38"/>
      <c r="J9" s="38"/>
      <c r="K9" s="38"/>
      <c r="L9" s="38"/>
      <c r="M9" s="42"/>
      <c r="N9" s="42"/>
      <c r="O9" s="42"/>
      <c r="P9" s="42"/>
      <c r="Q9" s="42"/>
      <c r="R9" s="42"/>
      <c r="S9" s="42"/>
      <c r="T9" s="42"/>
      <c r="U9" s="42"/>
      <c r="V9" s="42"/>
      <c r="W9" s="42"/>
      <c r="X9" s="42"/>
      <c r="Y9" s="42"/>
      <c r="Z9" s="42"/>
      <c r="AA9" s="42"/>
    </row>
    <row r="10">
      <c r="A10" s="44">
        <v>2.0</v>
      </c>
      <c r="B10" s="44" t="s">
        <v>67</v>
      </c>
      <c r="C10" s="48" t="s">
        <v>69</v>
      </c>
      <c r="D10" s="34" t="s">
        <v>47</v>
      </c>
      <c r="E10" s="34" t="s">
        <v>47</v>
      </c>
      <c r="F10" s="50" t="s">
        <v>78</v>
      </c>
      <c r="G10" s="48" t="s">
        <v>80</v>
      </c>
      <c r="H10" s="52"/>
      <c r="I10" s="52"/>
      <c r="J10" s="52"/>
      <c r="K10" s="52"/>
      <c r="L10" s="52"/>
      <c r="M10" s="42"/>
      <c r="N10" s="42"/>
      <c r="O10" s="42"/>
      <c r="P10" s="42"/>
      <c r="Q10" s="42"/>
      <c r="R10" s="42"/>
      <c r="S10" s="42"/>
      <c r="T10" s="42"/>
      <c r="U10" s="42"/>
      <c r="V10" s="42"/>
      <c r="W10" s="42"/>
      <c r="X10" s="42"/>
      <c r="Y10" s="42"/>
      <c r="Z10" s="42"/>
      <c r="AA10" s="42"/>
    </row>
    <row r="11">
      <c r="A11" s="28">
        <v>3.0</v>
      </c>
      <c r="B11" s="28" t="s">
        <v>95</v>
      </c>
      <c r="C11" s="29" t="s">
        <v>96</v>
      </c>
      <c r="D11" s="28" t="s">
        <v>47</v>
      </c>
      <c r="E11" s="28" t="s">
        <v>47</v>
      </c>
      <c r="F11" s="28" t="s">
        <v>47</v>
      </c>
      <c r="G11" s="29" t="s">
        <v>98</v>
      </c>
      <c r="H11" s="35"/>
      <c r="I11" s="30"/>
      <c r="J11" s="30"/>
      <c r="K11" s="30"/>
      <c r="L11" s="35"/>
      <c r="M11" s="27"/>
      <c r="N11" s="27"/>
      <c r="O11" s="27"/>
      <c r="P11" s="27"/>
      <c r="Q11" s="27"/>
      <c r="R11" s="27"/>
      <c r="S11" s="27"/>
      <c r="T11" s="27"/>
      <c r="U11" s="27"/>
      <c r="V11" s="27"/>
      <c r="W11" s="27"/>
      <c r="X11" s="27"/>
      <c r="Y11" s="27"/>
      <c r="Z11" s="27"/>
      <c r="AA11" s="27"/>
    </row>
    <row r="12">
      <c r="A12" s="39">
        <v>4.0</v>
      </c>
      <c r="B12" s="39" t="s">
        <v>100</v>
      </c>
      <c r="C12" s="39" t="s">
        <v>101</v>
      </c>
      <c r="D12" s="39" t="s">
        <v>47</v>
      </c>
      <c r="E12" s="39" t="s">
        <v>47</v>
      </c>
      <c r="F12" s="40" t="s">
        <v>47</v>
      </c>
      <c r="G12" s="41" t="s">
        <v>104</v>
      </c>
      <c r="H12" s="44"/>
      <c r="I12" s="44"/>
      <c r="J12" s="44"/>
      <c r="K12" s="44"/>
      <c r="L12" s="44"/>
      <c r="M12" s="27"/>
      <c r="N12" s="27"/>
      <c r="O12" s="27"/>
      <c r="P12" s="27"/>
      <c r="Q12" s="27"/>
      <c r="R12" s="27"/>
      <c r="S12" s="27"/>
      <c r="T12" s="27"/>
      <c r="U12" s="27"/>
      <c r="V12" s="27"/>
      <c r="W12" s="27"/>
      <c r="X12" s="27"/>
      <c r="Y12" s="27"/>
      <c r="Z12" s="27"/>
      <c r="AA12" s="27"/>
    </row>
    <row r="13">
      <c r="A13" s="28">
        <v>5.0</v>
      </c>
      <c r="B13" s="28" t="s">
        <v>106</v>
      </c>
      <c r="C13" s="30"/>
      <c r="D13" s="28" t="s">
        <v>47</v>
      </c>
      <c r="E13" s="28" t="s">
        <v>47</v>
      </c>
      <c r="F13" s="28"/>
      <c r="G13" s="29" t="s">
        <v>107</v>
      </c>
      <c r="H13" s="30"/>
      <c r="I13" s="30"/>
      <c r="J13" s="30"/>
      <c r="K13" s="30"/>
      <c r="L13" s="30"/>
      <c r="M13" s="27"/>
      <c r="N13" s="27"/>
      <c r="O13" s="27"/>
      <c r="P13" s="27"/>
      <c r="Q13" s="27"/>
      <c r="R13" s="27"/>
      <c r="S13" s="27"/>
      <c r="T13" s="27"/>
      <c r="U13" s="27"/>
      <c r="V13" s="27"/>
      <c r="W13" s="27"/>
      <c r="X13" s="27"/>
      <c r="Y13" s="27"/>
      <c r="Z13" s="27"/>
      <c r="AA13" s="27"/>
    </row>
    <row r="14">
      <c r="A14" s="39">
        <v>6.0</v>
      </c>
      <c r="B14" s="39" t="s">
        <v>108</v>
      </c>
      <c r="C14" s="44"/>
      <c r="D14" s="39" t="s">
        <v>47</v>
      </c>
      <c r="E14" s="39" t="s">
        <v>47</v>
      </c>
      <c r="F14" s="40"/>
      <c r="G14" s="39" t="s">
        <v>113</v>
      </c>
      <c r="H14" s="44"/>
      <c r="I14" s="44"/>
      <c r="J14" s="44"/>
      <c r="K14" s="44"/>
      <c r="L14" s="44"/>
      <c r="M14" s="27"/>
      <c r="N14" s="27"/>
      <c r="O14" s="27"/>
      <c r="P14" s="27"/>
      <c r="Q14" s="27"/>
      <c r="R14" s="27"/>
      <c r="S14" s="27"/>
      <c r="T14" s="27"/>
      <c r="U14" s="27"/>
      <c r="V14" s="27"/>
      <c r="W14" s="27"/>
      <c r="X14" s="27"/>
      <c r="Y14" s="27"/>
      <c r="Z14" s="27"/>
      <c r="AA14" s="27"/>
    </row>
    <row r="15">
      <c r="A15" s="28">
        <v>7.0</v>
      </c>
      <c r="B15" s="28" t="s">
        <v>115</v>
      </c>
      <c r="C15" s="30"/>
      <c r="D15" s="28" t="s">
        <v>47</v>
      </c>
      <c r="E15" s="28" t="s">
        <v>47</v>
      </c>
      <c r="F15" s="28"/>
      <c r="G15" s="28" t="s">
        <v>116</v>
      </c>
      <c r="H15" s="30"/>
      <c r="I15" s="30"/>
      <c r="J15" s="30"/>
      <c r="K15" s="30"/>
      <c r="L15" s="30"/>
      <c r="M15" s="27"/>
      <c r="N15" s="27"/>
      <c r="O15" s="27"/>
      <c r="P15" s="27"/>
      <c r="Q15" s="27"/>
      <c r="R15" s="27"/>
      <c r="S15" s="27"/>
      <c r="T15" s="27"/>
      <c r="U15" s="27"/>
      <c r="V15" s="27"/>
      <c r="W15" s="27"/>
      <c r="X15" s="27"/>
      <c r="Y15" s="27"/>
      <c r="Z15" s="27"/>
      <c r="AA15" s="27"/>
    </row>
    <row r="16">
      <c r="A16" s="39">
        <v>8.0</v>
      </c>
      <c r="B16" s="39" t="s">
        <v>118</v>
      </c>
      <c r="C16" s="44"/>
      <c r="D16" s="39" t="s">
        <v>47</v>
      </c>
      <c r="E16" s="39" t="s">
        <v>47</v>
      </c>
      <c r="F16" s="40"/>
      <c r="G16" s="39" t="s">
        <v>120</v>
      </c>
      <c r="H16" s="44"/>
      <c r="I16" s="44"/>
      <c r="J16" s="44"/>
      <c r="K16" s="44"/>
      <c r="L16" s="44"/>
      <c r="M16" s="27"/>
      <c r="N16" s="27"/>
      <c r="O16" s="27"/>
      <c r="P16" s="27"/>
      <c r="Q16" s="27"/>
      <c r="R16" s="27"/>
      <c r="S16" s="27"/>
      <c r="T16" s="27"/>
      <c r="U16" s="27"/>
      <c r="V16" s="27"/>
      <c r="W16" s="27"/>
      <c r="X16" s="27"/>
      <c r="Y16" s="27"/>
      <c r="Z16" s="27"/>
      <c r="AA16" s="27"/>
    </row>
    <row r="17">
      <c r="A17" s="28">
        <v>9.0</v>
      </c>
      <c r="B17" s="28" t="s">
        <v>122</v>
      </c>
      <c r="C17" s="30"/>
      <c r="D17" s="28" t="s">
        <v>47</v>
      </c>
      <c r="E17" s="28" t="s">
        <v>47</v>
      </c>
      <c r="F17" s="28"/>
      <c r="G17" s="28" t="s">
        <v>124</v>
      </c>
      <c r="H17" s="30"/>
      <c r="I17" s="30"/>
      <c r="J17" s="30"/>
      <c r="K17" s="30"/>
      <c r="L17" s="30"/>
      <c r="M17" s="27"/>
      <c r="N17" s="27"/>
      <c r="O17" s="27"/>
      <c r="P17" s="27"/>
      <c r="Q17" s="27"/>
      <c r="R17" s="27"/>
      <c r="S17" s="27"/>
      <c r="T17" s="27"/>
      <c r="U17" s="27"/>
      <c r="V17" s="27"/>
      <c r="W17" s="27"/>
      <c r="X17" s="27"/>
      <c r="Y17" s="27"/>
      <c r="Z17" s="27"/>
      <c r="AA17" s="27"/>
    </row>
    <row r="18">
      <c r="A18" s="39">
        <v>10.0</v>
      </c>
      <c r="B18" s="39" t="s">
        <v>126</v>
      </c>
      <c r="C18" s="44"/>
      <c r="D18" s="39" t="s">
        <v>47</v>
      </c>
      <c r="E18" s="39" t="s">
        <v>50</v>
      </c>
      <c r="F18" s="40"/>
      <c r="G18" s="39" t="s">
        <v>128</v>
      </c>
      <c r="H18" s="44"/>
      <c r="I18" s="44"/>
      <c r="J18" s="44"/>
      <c r="K18" s="44"/>
      <c r="L18" s="44"/>
      <c r="M18" s="27"/>
      <c r="N18" s="27"/>
      <c r="O18" s="27"/>
      <c r="P18" s="27"/>
      <c r="Q18" s="27"/>
      <c r="R18" s="27"/>
      <c r="S18" s="27"/>
      <c r="T18" s="27"/>
      <c r="U18" s="27"/>
      <c r="V18" s="27"/>
      <c r="W18" s="27"/>
      <c r="X18" s="27"/>
      <c r="Y18" s="27"/>
      <c r="Z18" s="27"/>
      <c r="AA18" s="27"/>
    </row>
    <row r="19">
      <c r="A19" s="28">
        <v>11.0</v>
      </c>
      <c r="B19" s="28" t="s">
        <v>130</v>
      </c>
      <c r="C19" s="30"/>
      <c r="D19" s="28" t="s">
        <v>47</v>
      </c>
      <c r="E19" s="28" t="s">
        <v>50</v>
      </c>
      <c r="F19" s="28"/>
      <c r="G19" s="28" t="s">
        <v>132</v>
      </c>
      <c r="H19" s="30"/>
      <c r="I19" s="30"/>
      <c r="J19" s="30"/>
      <c r="K19" s="30"/>
      <c r="L19" s="30"/>
      <c r="M19" s="27"/>
      <c r="N19" s="27"/>
      <c r="O19" s="27"/>
      <c r="P19" s="27"/>
      <c r="Q19" s="27"/>
      <c r="R19" s="27"/>
      <c r="S19" s="27"/>
      <c r="T19" s="27"/>
      <c r="U19" s="27"/>
      <c r="V19" s="27"/>
      <c r="W19" s="27"/>
      <c r="X19" s="27"/>
      <c r="Y19" s="27"/>
      <c r="Z19" s="27"/>
      <c r="AA19" s="27"/>
    </row>
    <row r="20">
      <c r="A20" s="39"/>
      <c r="B20" s="39"/>
      <c r="C20" s="44"/>
      <c r="D20" s="39"/>
      <c r="E20" s="39"/>
      <c r="F20" s="40"/>
      <c r="G20" s="39"/>
      <c r="H20" s="44"/>
      <c r="I20" s="44"/>
      <c r="J20" s="44"/>
      <c r="K20" s="44"/>
      <c r="L20" s="44"/>
      <c r="M20" s="27"/>
      <c r="N20" s="27"/>
      <c r="O20" s="27"/>
      <c r="P20" s="27"/>
      <c r="Q20" s="27"/>
      <c r="R20" s="27"/>
      <c r="S20" s="27"/>
      <c r="T20" s="27"/>
      <c r="U20" s="27"/>
      <c r="V20" s="27"/>
      <c r="W20" s="27"/>
      <c r="X20" s="27"/>
      <c r="Y20" s="27"/>
      <c r="Z20" s="27"/>
      <c r="AA20" s="27"/>
    </row>
    <row r="21" ht="15.75" customHeight="1">
      <c r="A21" s="59"/>
      <c r="B21" s="59"/>
      <c r="C21" s="60"/>
      <c r="D21" s="59"/>
      <c r="E21" s="28"/>
      <c r="F21" s="60"/>
      <c r="G21" s="59"/>
      <c r="H21" s="60"/>
      <c r="I21" s="60"/>
      <c r="J21" s="60"/>
      <c r="K21" s="60"/>
      <c r="L21" s="60"/>
      <c r="M21" s="61"/>
      <c r="N21" s="61"/>
      <c r="O21" s="61"/>
      <c r="P21" s="61"/>
      <c r="Q21" s="61"/>
      <c r="R21" s="61"/>
      <c r="S21" s="61"/>
      <c r="T21" s="61"/>
      <c r="U21" s="61"/>
      <c r="V21" s="61"/>
      <c r="W21" s="61"/>
      <c r="X21" s="61"/>
      <c r="Y21" s="61"/>
      <c r="Z21" s="61"/>
      <c r="AA21" s="61"/>
    </row>
    <row r="22" ht="15.75" customHeight="1">
      <c r="A22" s="62"/>
      <c r="B22" s="62"/>
      <c r="C22" s="63"/>
      <c r="D22" s="62"/>
      <c r="E22" s="39"/>
      <c r="F22" s="64"/>
      <c r="G22" s="62"/>
      <c r="H22" s="63"/>
      <c r="I22" s="63"/>
      <c r="J22" s="63"/>
      <c r="K22" s="63"/>
      <c r="L22" s="63"/>
      <c r="M22" s="61"/>
      <c r="N22" s="61"/>
      <c r="O22" s="61"/>
      <c r="P22" s="61"/>
      <c r="Q22" s="61"/>
      <c r="R22" s="61"/>
      <c r="S22" s="61"/>
      <c r="T22" s="61"/>
      <c r="U22" s="61"/>
      <c r="V22" s="61"/>
      <c r="W22" s="61"/>
      <c r="X22" s="61"/>
      <c r="Y22" s="61"/>
      <c r="Z22" s="61"/>
      <c r="AA22" s="6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H5:I5"/>
    <mergeCell ref="J5:L5"/>
    <mergeCell ref="A7:G7"/>
    <mergeCell ref="H7:L7"/>
    <mergeCell ref="A2:L2"/>
    <mergeCell ref="A3:C3"/>
    <mergeCell ref="D3:H3"/>
    <mergeCell ref="I3:L3"/>
    <mergeCell ref="A5:B5"/>
    <mergeCell ref="C5:D5"/>
    <mergeCell ref="E5:G5"/>
  </mergeCells>
  <conditionalFormatting sqref="D9:D16 F9:F20 E17:E22">
    <cfRule type="cellIs" dxfId="0" priority="1" operator="equal">
      <formula>"✅ OK"</formula>
    </cfRule>
  </conditionalFormatting>
  <conditionalFormatting sqref="D9:D16 F9:F20 E17:E22">
    <cfRule type="cellIs" dxfId="1" priority="2" operator="equal">
      <formula>"⚠️ Incompleto"</formula>
    </cfRule>
  </conditionalFormatting>
  <conditionalFormatting sqref="D9:D16 F9:F20 E17:E22">
    <cfRule type="cellIs" dxfId="2" priority="3" operator="equal">
      <formula>"🔴 Não feito"</formula>
    </cfRule>
  </conditionalFormatting>
  <conditionalFormatting sqref="D9:D16 F9:F16 K17:K20">
    <cfRule type="cellIs" dxfId="3" priority="4" operator="equal">
      <formula>"—"</formula>
    </cfRule>
  </conditionalFormatting>
  <conditionalFormatting sqref="E9:E16">
    <cfRule type="cellIs" dxfId="0" priority="5" operator="equal">
      <formula>"✅ OK"</formula>
    </cfRule>
  </conditionalFormatting>
  <conditionalFormatting sqref="E9:E16">
    <cfRule type="cellIs" dxfId="1" priority="6" operator="equal">
      <formula>"⚠️ Incompleto"</formula>
    </cfRule>
  </conditionalFormatting>
  <conditionalFormatting sqref="E9:E16">
    <cfRule type="cellIs" dxfId="2" priority="7" operator="equal">
      <formula>"🔴 Não feito"</formula>
    </cfRule>
  </conditionalFormatting>
  <conditionalFormatting sqref="E9:E16">
    <cfRule type="cellIs" dxfId="3" priority="8" operator="equal">
      <formula>"—"</formula>
    </cfRule>
  </conditionalFormatting>
  <conditionalFormatting sqref="K9:K20">
    <cfRule type="cellIs" dxfId="0" priority="9" operator="equal">
      <formula>"✅ Aprovado"</formula>
    </cfRule>
  </conditionalFormatting>
  <conditionalFormatting sqref="K9:K20">
    <cfRule type="cellIs" dxfId="4" priority="10" operator="equal">
      <formula>"🔄 Em teste"</formula>
    </cfRule>
  </conditionalFormatting>
  <conditionalFormatting sqref="K9:K20">
    <cfRule type="cellIs" dxfId="1" priority="11" operator="equal">
      <formula>"⏳ Aguardando"</formula>
    </cfRule>
  </conditionalFormatting>
  <conditionalFormatting sqref="K9:K20">
    <cfRule type="cellIs" dxfId="2" priority="12" operator="equal">
      <formula>"🔴 Reprovado"</formula>
    </cfRule>
  </conditionalFormatting>
  <conditionalFormatting sqref="K9:K16">
    <cfRule type="cellIs" dxfId="3" priority="13" operator="equal">
      <formula>"—"</formula>
    </cfRule>
  </conditionalFormatting>
  <dataValidations>
    <dataValidation type="list" allowBlank="1" sqref="D9:F22">
      <formula1>"✅ OK,⚠️ Incompleto,🔴 Não feito,—"</formula1>
    </dataValidation>
    <dataValidation type="list" allowBlank="1" sqref="K9:K22">
      <formula1>"✅ Aprovado,🔄 Em teste,⏳ Aguardando,🔴 Reprovado,—"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A5A1A"/>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16.0"/>
    <col customWidth="1" min="3" max="3" width="32.14"/>
    <col customWidth="1" min="4" max="5" width="14.0"/>
    <col customWidth="1" min="6" max="8" width="28.0"/>
    <col customWidth="1" min="9" max="9" width="20.0"/>
    <col customWidth="1" min="10" max="10" width="22.0"/>
    <col customWidth="1" min="11" max="11" width="16.0"/>
    <col customWidth="1" min="12" max="12" width="24.0"/>
  </cols>
  <sheetData>
    <row r="1" ht="4.5" customHeight="1"/>
    <row r="2" ht="37.5" customHeight="1">
      <c r="A2" s="5" t="s">
        <v>3</v>
      </c>
      <c r="B2" s="2"/>
      <c r="C2" s="2"/>
      <c r="D2" s="2"/>
      <c r="E2" s="2"/>
      <c r="F2" s="2"/>
      <c r="G2" s="2"/>
      <c r="H2" s="2"/>
      <c r="I2" s="2"/>
      <c r="J2" s="2"/>
      <c r="K2" s="2"/>
      <c r="L2" s="2"/>
    </row>
    <row r="3" ht="19.5" customHeight="1">
      <c r="A3" s="7" t="s">
        <v>9</v>
      </c>
      <c r="B3" s="2"/>
      <c r="C3" s="2"/>
      <c r="D3" s="7" t="s">
        <v>11</v>
      </c>
      <c r="E3" s="2"/>
      <c r="F3" s="2"/>
      <c r="G3" s="2"/>
      <c r="H3" s="2"/>
      <c r="I3" s="7" t="s">
        <v>16</v>
      </c>
      <c r="J3" s="2"/>
      <c r="K3" s="2"/>
      <c r="L3" s="2"/>
    </row>
    <row r="4" ht="4.5" customHeight="1"/>
    <row r="5" ht="27.75" customHeight="1">
      <c r="A5" s="15" t="str">
        <f>"Sprints: " &amp; COUNTA($A$9:$A1000)</f>
        <v>Sprints: 9</v>
      </c>
      <c r="B5" s="14"/>
      <c r="C5" s="16" t="str">
        <f>COUNTIF($D$9:$D1000,"✅ OK")&amp;"/" &amp; COUNTA($D$9:$D1000) &amp; "Pipefy ✅"</f>
        <v>9/9Pipefy ✅</v>
      </c>
      <c r="D5" s="14"/>
      <c r="E5" s="17" t="str">
        <f>COUNTIF($E$9:$E1000,"✅ OK")&amp;"/" &amp; COUNTA($D$9:$D1000) &amp; "ATA ✅"</f>
        <v>9/9ATA ✅</v>
      </c>
      <c r="F5" s="18"/>
      <c r="G5" s="14"/>
      <c r="H5" s="19" t="str">
        <f>COUNTIF($K$9:$K1000,"✅ Aprovado")&amp;" aprovados 🧪"</f>
        <v>0 aprovados 🧪</v>
      </c>
      <c r="I5" s="14"/>
      <c r="J5" s="20" t="str">
        <f>COUNTIF($K$9:$K1000,"🔄 Em teste")&amp;" em teste 🔄"</f>
        <v>0 em teste 🔄</v>
      </c>
      <c r="K5" s="18"/>
      <c r="L5" s="14"/>
    </row>
    <row r="6" ht="4.5" customHeight="1"/>
    <row r="7" ht="13.5" customHeight="1">
      <c r="A7" s="21" t="s">
        <v>27</v>
      </c>
      <c r="B7" s="18"/>
      <c r="C7" s="18"/>
      <c r="D7" s="18"/>
      <c r="E7" s="18"/>
      <c r="F7" s="18"/>
      <c r="G7" s="14"/>
      <c r="H7" s="22" t="s">
        <v>28</v>
      </c>
      <c r="I7" s="18"/>
      <c r="J7" s="18"/>
      <c r="K7" s="18"/>
      <c r="L7" s="14"/>
    </row>
    <row r="8" ht="36.0" customHeight="1">
      <c r="A8" s="6" t="s">
        <v>29</v>
      </c>
      <c r="B8" s="6" t="s">
        <v>30</v>
      </c>
      <c r="C8" s="6" t="s">
        <v>31</v>
      </c>
      <c r="D8" s="23" t="s">
        <v>32</v>
      </c>
      <c r="E8" s="23" t="s">
        <v>33</v>
      </c>
      <c r="F8" s="25" t="s">
        <v>34</v>
      </c>
      <c r="G8" s="23" t="s">
        <v>35</v>
      </c>
      <c r="H8" s="26" t="s">
        <v>36</v>
      </c>
      <c r="I8" s="26" t="s">
        <v>37</v>
      </c>
      <c r="J8" s="26" t="s">
        <v>38</v>
      </c>
      <c r="K8" s="26" t="s">
        <v>39</v>
      </c>
      <c r="L8" s="26" t="s">
        <v>40</v>
      </c>
    </row>
    <row r="9">
      <c r="A9" s="28" t="s">
        <v>41</v>
      </c>
      <c r="B9" s="28" t="s">
        <v>42</v>
      </c>
      <c r="C9" s="29" t="s">
        <v>43</v>
      </c>
      <c r="D9" s="28" t="s">
        <v>47</v>
      </c>
      <c r="E9" s="28" t="s">
        <v>47</v>
      </c>
      <c r="F9" s="28" t="s">
        <v>50</v>
      </c>
      <c r="G9" s="29" t="s">
        <v>51</v>
      </c>
      <c r="H9" s="35"/>
      <c r="I9" s="30"/>
      <c r="J9" s="30"/>
      <c r="K9" s="28"/>
      <c r="L9" s="35"/>
    </row>
    <row r="10">
      <c r="A10" s="39" t="s">
        <v>55</v>
      </c>
      <c r="B10" s="28" t="s">
        <v>56</v>
      </c>
      <c r="C10" s="29" t="s">
        <v>57</v>
      </c>
      <c r="D10" s="39" t="s">
        <v>47</v>
      </c>
      <c r="E10" s="39" t="s">
        <v>47</v>
      </c>
      <c r="F10" s="40" t="s">
        <v>47</v>
      </c>
      <c r="G10" s="41" t="s">
        <v>58</v>
      </c>
      <c r="H10" s="43"/>
      <c r="I10" s="44"/>
      <c r="J10" s="44"/>
      <c r="K10" s="44"/>
      <c r="L10" s="43"/>
    </row>
    <row r="11">
      <c r="A11" s="28" t="s">
        <v>59</v>
      </c>
      <c r="B11" s="28" t="s">
        <v>60</v>
      </c>
      <c r="C11" s="28" t="s">
        <v>61</v>
      </c>
      <c r="D11" s="28" t="s">
        <v>47</v>
      </c>
      <c r="E11" s="28" t="s">
        <v>47</v>
      </c>
      <c r="F11" s="28" t="s">
        <v>47</v>
      </c>
      <c r="G11" s="28" t="s">
        <v>62</v>
      </c>
      <c r="H11" s="30"/>
      <c r="I11" s="30"/>
      <c r="J11" s="30"/>
      <c r="K11" s="30"/>
      <c r="L11" s="30"/>
    </row>
    <row r="12">
      <c r="A12" s="39" t="s">
        <v>63</v>
      </c>
      <c r="B12" s="39" t="s">
        <v>64</v>
      </c>
      <c r="C12" s="39" t="s">
        <v>65</v>
      </c>
      <c r="D12" s="39" t="s">
        <v>47</v>
      </c>
      <c r="E12" s="39" t="s">
        <v>47</v>
      </c>
      <c r="F12" s="40" t="s">
        <v>47</v>
      </c>
      <c r="G12" s="39" t="s">
        <v>66</v>
      </c>
      <c r="H12" s="44"/>
      <c r="I12" s="44"/>
      <c r="J12" s="44"/>
      <c r="K12" s="44"/>
      <c r="L12" s="44"/>
    </row>
    <row r="13">
      <c r="A13" s="28" t="s">
        <v>70</v>
      </c>
      <c r="B13" s="28" t="s">
        <v>71</v>
      </c>
      <c r="C13" s="28" t="s">
        <v>72</v>
      </c>
      <c r="D13" s="28" t="s">
        <v>47</v>
      </c>
      <c r="E13" s="28" t="s">
        <v>47</v>
      </c>
      <c r="F13" s="28" t="s">
        <v>47</v>
      </c>
      <c r="G13" s="28" t="s">
        <v>73</v>
      </c>
      <c r="H13" s="30"/>
      <c r="I13" s="30"/>
      <c r="J13" s="30"/>
      <c r="K13" s="30"/>
      <c r="L13" s="30"/>
    </row>
    <row r="14">
      <c r="A14" s="39" t="s">
        <v>74</v>
      </c>
      <c r="B14" s="39" t="s">
        <v>76</v>
      </c>
      <c r="C14" s="39" t="s">
        <v>77</v>
      </c>
      <c r="D14" s="39" t="s">
        <v>47</v>
      </c>
      <c r="E14" s="39" t="s">
        <v>47</v>
      </c>
      <c r="F14" s="40" t="s">
        <v>50</v>
      </c>
      <c r="G14" s="39" t="s">
        <v>81</v>
      </c>
      <c r="H14" s="44"/>
      <c r="I14" s="44"/>
      <c r="J14" s="44"/>
      <c r="K14" s="44"/>
      <c r="L14" s="44"/>
    </row>
    <row r="15">
      <c r="A15" s="28" t="s">
        <v>82</v>
      </c>
      <c r="B15" s="28" t="s">
        <v>83</v>
      </c>
      <c r="C15" s="28" t="s">
        <v>84</v>
      </c>
      <c r="D15" s="28" t="s">
        <v>47</v>
      </c>
      <c r="E15" s="28" t="s">
        <v>47</v>
      </c>
      <c r="F15" s="28" t="s">
        <v>50</v>
      </c>
      <c r="G15" s="28" t="s">
        <v>85</v>
      </c>
      <c r="H15" s="30"/>
      <c r="I15" s="30"/>
      <c r="J15" s="30"/>
      <c r="K15" s="30"/>
      <c r="L15" s="30"/>
    </row>
    <row r="16">
      <c r="A16" s="39" t="s">
        <v>86</v>
      </c>
      <c r="B16" s="39" t="s">
        <v>87</v>
      </c>
      <c r="C16" s="39" t="s">
        <v>88</v>
      </c>
      <c r="D16" s="39" t="s">
        <v>47</v>
      </c>
      <c r="E16" s="39" t="s">
        <v>47</v>
      </c>
      <c r="F16" s="40" t="s">
        <v>50</v>
      </c>
      <c r="G16" s="39" t="s">
        <v>89</v>
      </c>
      <c r="H16" s="44"/>
      <c r="I16" s="44"/>
      <c r="J16" s="44"/>
      <c r="K16" s="44"/>
      <c r="L16" s="44"/>
    </row>
    <row r="17">
      <c r="A17" s="28" t="s">
        <v>90</v>
      </c>
      <c r="B17" s="28" t="s">
        <v>91</v>
      </c>
      <c r="C17" s="28" t="s">
        <v>92</v>
      </c>
      <c r="D17" s="28" t="s">
        <v>47</v>
      </c>
      <c r="E17" s="28" t="s">
        <v>47</v>
      </c>
      <c r="F17" s="28" t="s">
        <v>50</v>
      </c>
      <c r="G17" s="28" t="s">
        <v>93</v>
      </c>
      <c r="H17" s="30"/>
      <c r="I17" s="30"/>
      <c r="J17" s="30"/>
      <c r="K17" s="30"/>
      <c r="L17" s="30"/>
    </row>
    <row r="18">
      <c r="A18" s="44"/>
      <c r="B18" s="44"/>
      <c r="C18" s="44"/>
      <c r="D18" s="44"/>
      <c r="E18" s="44"/>
      <c r="F18" s="40"/>
      <c r="G18" s="44"/>
      <c r="H18" s="44"/>
      <c r="I18" s="44"/>
      <c r="J18" s="44"/>
      <c r="K18" s="44"/>
      <c r="L18"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5:I5"/>
    <mergeCell ref="J5:L5"/>
    <mergeCell ref="A7:G7"/>
    <mergeCell ref="H7:L7"/>
    <mergeCell ref="A2:L2"/>
    <mergeCell ref="A3:C3"/>
    <mergeCell ref="D3:H3"/>
    <mergeCell ref="I3:L3"/>
    <mergeCell ref="A5:B5"/>
    <mergeCell ref="C5:D5"/>
    <mergeCell ref="E5:G5"/>
  </mergeCells>
  <conditionalFormatting sqref="D9:D15 F9:F18 E16:E18">
    <cfRule type="cellIs" dxfId="0" priority="1" operator="equal">
      <formula>"✅ OK"</formula>
    </cfRule>
  </conditionalFormatting>
  <conditionalFormatting sqref="D9:D15 F9:F18 E16:E18">
    <cfRule type="cellIs" dxfId="1" priority="2" operator="equal">
      <formula>"⚠️ Incompleto"</formula>
    </cfRule>
  </conditionalFormatting>
  <conditionalFormatting sqref="D9:D15 F9:F18 E16:E18">
    <cfRule type="cellIs" dxfId="2" priority="3" operator="equal">
      <formula>"🔴 Não feito"</formula>
    </cfRule>
  </conditionalFormatting>
  <conditionalFormatting sqref="D9:D15 F9:F18 K16:K18">
    <cfRule type="cellIs" dxfId="3" priority="4" operator="equal">
      <formula>"—"</formula>
    </cfRule>
  </conditionalFormatting>
  <conditionalFormatting sqref="E9:E15">
    <cfRule type="cellIs" dxfId="0" priority="5" operator="equal">
      <formula>"✅ OK"</formula>
    </cfRule>
  </conditionalFormatting>
  <conditionalFormatting sqref="E9:E15">
    <cfRule type="cellIs" dxfId="1" priority="6" operator="equal">
      <formula>"⚠️ Incompleto"</formula>
    </cfRule>
  </conditionalFormatting>
  <conditionalFormatting sqref="E9:E15">
    <cfRule type="cellIs" dxfId="2" priority="7" operator="equal">
      <formula>"🔴 Não feito"</formula>
    </cfRule>
  </conditionalFormatting>
  <conditionalFormatting sqref="E9:E15">
    <cfRule type="cellIs" dxfId="3" priority="8" operator="equal">
      <formula>"—"</formula>
    </cfRule>
  </conditionalFormatting>
  <conditionalFormatting sqref="K9:K18">
    <cfRule type="cellIs" dxfId="0" priority="9" operator="equal">
      <formula>"✅ Aprovado"</formula>
    </cfRule>
  </conditionalFormatting>
  <conditionalFormatting sqref="K9:K18">
    <cfRule type="cellIs" dxfId="4" priority="10" operator="equal">
      <formula>"🔄 Em teste"</formula>
    </cfRule>
  </conditionalFormatting>
  <conditionalFormatting sqref="K9:K18">
    <cfRule type="cellIs" dxfId="1" priority="11" operator="equal">
      <formula>"⏳ Aguardando"</formula>
    </cfRule>
  </conditionalFormatting>
  <conditionalFormatting sqref="K9:K18">
    <cfRule type="cellIs" dxfId="2" priority="12" operator="equal">
      <formula>"🔴 Reprovado"</formula>
    </cfRule>
  </conditionalFormatting>
  <conditionalFormatting sqref="K9:K15">
    <cfRule type="cellIs" dxfId="3" priority="13" operator="equal">
      <formula>"—"</formula>
    </cfRule>
  </conditionalFormatting>
  <dataValidations>
    <dataValidation type="list" allowBlank="1" sqref="D9:F18">
      <formula1>"✅ OK,⚠️ Incompleto,🔴 Não feito,—"</formula1>
    </dataValidation>
    <dataValidation type="list" allowBlank="1" sqref="K9:K18">
      <formula1>"✅ Aprovado,🔄 Em teste,⏳ Aguardando,🔴 Reprovado,—"</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8D"/>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16.0"/>
    <col customWidth="1" min="3" max="3" width="30.0"/>
    <col customWidth="1" min="4" max="5" width="14.0"/>
    <col customWidth="1" min="6" max="8" width="28.0"/>
    <col customWidth="1" min="9" max="9" width="20.0"/>
    <col customWidth="1" min="10" max="10" width="22.0"/>
    <col customWidth="1" min="11" max="11" width="16.0"/>
    <col customWidth="1" min="12" max="12" width="24.0"/>
  </cols>
  <sheetData>
    <row r="1" ht="4.5" customHeight="1"/>
    <row r="2" ht="37.5" customHeight="1">
      <c r="A2" s="5" t="s">
        <v>138</v>
      </c>
      <c r="B2" s="2"/>
      <c r="C2" s="2"/>
      <c r="D2" s="2"/>
      <c r="E2" s="2"/>
      <c r="F2" s="2"/>
      <c r="G2" s="2"/>
      <c r="H2" s="2"/>
      <c r="I2" s="2"/>
      <c r="J2" s="2"/>
      <c r="K2" s="2"/>
      <c r="L2" s="2"/>
    </row>
    <row r="3" ht="19.5" customHeight="1">
      <c r="A3" s="7" t="s">
        <v>139</v>
      </c>
      <c r="B3" s="2"/>
      <c r="C3" s="2"/>
      <c r="D3" s="7" t="s">
        <v>11</v>
      </c>
      <c r="E3" s="2"/>
      <c r="F3" s="2"/>
      <c r="G3" s="2"/>
      <c r="H3" s="2"/>
      <c r="I3" s="7" t="s">
        <v>16</v>
      </c>
      <c r="J3" s="2"/>
      <c r="K3" s="2"/>
      <c r="L3" s="2"/>
    </row>
    <row r="4" ht="4.5" customHeight="1"/>
    <row r="5" ht="27.75" customHeight="1">
      <c r="A5" s="15" t="str">
        <f>"Sprints: " &amp; COUNTA($A$9:$A1022)</f>
        <v>Sprints: 20</v>
      </c>
      <c r="B5" s="14"/>
      <c r="C5" s="16" t="str">
        <f>COUNTIF($D$9:$D1022,"✅ OK")&amp;"/" &amp; COUNTA($D$9:$D1022) &amp; "Pipefy ✅"</f>
        <v>17/20Pipefy ✅</v>
      </c>
      <c r="D5" s="14"/>
      <c r="E5" s="17" t="str">
        <f>COUNTIF($E$9:$E1022,"✅ OK")&amp;"/" &amp; COUNTA($D$9:$D1022) &amp; "ATA ✅"</f>
        <v>20/20ATA ✅</v>
      </c>
      <c r="F5" s="18"/>
      <c r="G5" s="14"/>
      <c r="H5" s="19" t="str">
        <f>COUNTIF($K$9:$K1022,"✅ Aprovado")&amp;" aprovados 🧪"</f>
        <v>0 aprovados 🧪</v>
      </c>
      <c r="I5" s="14"/>
      <c r="J5" s="20" t="str">
        <f>COUNTIF($K$9:$K1022,"🔄 Em teste")&amp;" em teste 🔄"</f>
        <v>0 em teste 🔄</v>
      </c>
      <c r="K5" s="18"/>
      <c r="L5" s="14"/>
    </row>
    <row r="6" ht="4.5" customHeight="1"/>
    <row r="7" ht="13.5" customHeight="1">
      <c r="A7" s="21" t="s">
        <v>27</v>
      </c>
      <c r="B7" s="18"/>
      <c r="C7" s="18"/>
      <c r="D7" s="18"/>
      <c r="E7" s="18"/>
      <c r="F7" s="18"/>
      <c r="G7" s="14"/>
      <c r="H7" s="22" t="s">
        <v>28</v>
      </c>
      <c r="I7" s="18"/>
      <c r="J7" s="18"/>
      <c r="K7" s="18"/>
      <c r="L7" s="14"/>
    </row>
    <row r="8" ht="36.0" customHeight="1">
      <c r="A8" s="6" t="s">
        <v>29</v>
      </c>
      <c r="B8" s="6" t="s">
        <v>30</v>
      </c>
      <c r="C8" s="6" t="s">
        <v>31</v>
      </c>
      <c r="D8" s="23" t="s">
        <v>32</v>
      </c>
      <c r="E8" s="23" t="s">
        <v>33</v>
      </c>
      <c r="F8" s="25" t="s">
        <v>34</v>
      </c>
      <c r="G8" s="23" t="s">
        <v>35</v>
      </c>
      <c r="H8" s="26" t="s">
        <v>36</v>
      </c>
      <c r="I8" s="26" t="s">
        <v>37</v>
      </c>
      <c r="J8" s="26" t="s">
        <v>38</v>
      </c>
      <c r="K8" s="26" t="s">
        <v>39</v>
      </c>
      <c r="L8" s="26" t="s">
        <v>40</v>
      </c>
    </row>
    <row r="9">
      <c r="A9" s="28" t="s">
        <v>143</v>
      </c>
      <c r="B9" s="28" t="s">
        <v>144</v>
      </c>
      <c r="C9" s="29" t="s">
        <v>145</v>
      </c>
      <c r="D9" s="28" t="s">
        <v>47</v>
      </c>
      <c r="E9" s="28" t="s">
        <v>47</v>
      </c>
      <c r="F9" s="28" t="s">
        <v>47</v>
      </c>
      <c r="G9" s="29" t="s">
        <v>146</v>
      </c>
      <c r="H9" s="35"/>
      <c r="I9" s="30"/>
      <c r="J9" s="30"/>
      <c r="K9" s="28"/>
      <c r="L9" s="29" t="s">
        <v>147</v>
      </c>
    </row>
    <row r="10">
      <c r="A10" s="39" t="s">
        <v>55</v>
      </c>
      <c r="B10" s="39" t="s">
        <v>148</v>
      </c>
      <c r="C10" s="41" t="s">
        <v>149</v>
      </c>
      <c r="D10" s="39" t="s">
        <v>47</v>
      </c>
      <c r="E10" s="39" t="s">
        <v>47</v>
      </c>
      <c r="F10" s="40" t="s">
        <v>47</v>
      </c>
      <c r="G10" s="41" t="s">
        <v>150</v>
      </c>
      <c r="H10" s="43"/>
      <c r="I10" s="44"/>
      <c r="J10" s="44"/>
      <c r="K10" s="44"/>
      <c r="L10" s="41" t="s">
        <v>151</v>
      </c>
    </row>
    <row r="11">
      <c r="A11" s="28" t="s">
        <v>59</v>
      </c>
      <c r="B11" s="28" t="s">
        <v>152</v>
      </c>
      <c r="C11" s="28" t="s">
        <v>153</v>
      </c>
      <c r="D11" s="28" t="s">
        <v>78</v>
      </c>
      <c r="E11" s="28" t="s">
        <v>47</v>
      </c>
      <c r="F11" s="28" t="s">
        <v>53</v>
      </c>
      <c r="G11" s="28" t="s">
        <v>154</v>
      </c>
      <c r="H11" s="30"/>
      <c r="I11" s="30"/>
      <c r="J11" s="30"/>
      <c r="K11" s="30"/>
      <c r="L11" s="28" t="s">
        <v>155</v>
      </c>
    </row>
    <row r="12">
      <c r="A12" s="39" t="s">
        <v>63</v>
      </c>
      <c r="B12" s="39" t="s">
        <v>156</v>
      </c>
      <c r="C12" s="39" t="s">
        <v>157</v>
      </c>
      <c r="D12" s="39" t="s">
        <v>47</v>
      </c>
      <c r="E12" s="39" t="s">
        <v>47</v>
      </c>
      <c r="F12" s="40" t="s">
        <v>47</v>
      </c>
      <c r="G12" s="39" t="s">
        <v>158</v>
      </c>
      <c r="H12" s="44"/>
      <c r="I12" s="44"/>
      <c r="J12" s="44"/>
      <c r="K12" s="44"/>
      <c r="L12" s="44"/>
    </row>
    <row r="13">
      <c r="A13" s="28" t="s">
        <v>70</v>
      </c>
      <c r="B13" s="28" t="s">
        <v>159</v>
      </c>
      <c r="C13" s="28" t="s">
        <v>160</v>
      </c>
      <c r="D13" s="28" t="s">
        <v>47</v>
      </c>
      <c r="E13" s="28" t="s">
        <v>47</v>
      </c>
      <c r="F13" s="28" t="s">
        <v>47</v>
      </c>
      <c r="G13" s="28" t="s">
        <v>161</v>
      </c>
      <c r="H13" s="30"/>
      <c r="I13" s="30"/>
      <c r="J13" s="30"/>
      <c r="K13" s="30"/>
      <c r="L13" s="30"/>
    </row>
    <row r="14">
      <c r="A14" s="39" t="s">
        <v>74</v>
      </c>
      <c r="B14" s="39" t="s">
        <v>162</v>
      </c>
      <c r="C14" s="39" t="s">
        <v>163</v>
      </c>
      <c r="D14" s="39" t="s">
        <v>47</v>
      </c>
      <c r="E14" s="39" t="s">
        <v>47</v>
      </c>
      <c r="F14" s="40" t="s">
        <v>47</v>
      </c>
      <c r="G14" s="39" t="s">
        <v>164</v>
      </c>
      <c r="H14" s="44"/>
      <c r="I14" s="44"/>
      <c r="J14" s="44"/>
      <c r="K14" s="44"/>
      <c r="L14" s="44"/>
    </row>
    <row r="15">
      <c r="A15" s="28" t="s">
        <v>82</v>
      </c>
      <c r="B15" s="28" t="s">
        <v>165</v>
      </c>
      <c r="C15" s="28" t="s">
        <v>166</v>
      </c>
      <c r="D15" s="28" t="s">
        <v>47</v>
      </c>
      <c r="E15" s="28" t="s">
        <v>47</v>
      </c>
      <c r="F15" s="28" t="s">
        <v>47</v>
      </c>
      <c r="G15" s="28" t="s">
        <v>167</v>
      </c>
      <c r="H15" s="30"/>
      <c r="I15" s="30"/>
      <c r="J15" s="30"/>
      <c r="K15" s="30"/>
      <c r="L15" s="30"/>
    </row>
    <row r="16">
      <c r="A16" s="39" t="s">
        <v>86</v>
      </c>
      <c r="B16" s="39" t="s">
        <v>168</v>
      </c>
      <c r="C16" s="39" t="s">
        <v>110</v>
      </c>
      <c r="D16" s="39" t="s">
        <v>47</v>
      </c>
      <c r="E16" s="39" t="s">
        <v>47</v>
      </c>
      <c r="F16" s="40" t="s">
        <v>50</v>
      </c>
      <c r="G16" s="39" t="s">
        <v>169</v>
      </c>
      <c r="H16" s="44"/>
      <c r="I16" s="44"/>
      <c r="J16" s="44"/>
      <c r="K16" s="44"/>
      <c r="L16" s="44"/>
    </row>
    <row r="17">
      <c r="A17" s="28" t="s">
        <v>90</v>
      </c>
      <c r="B17" s="28" t="s">
        <v>170</v>
      </c>
      <c r="C17" s="28" t="s">
        <v>171</v>
      </c>
      <c r="D17" s="28" t="s">
        <v>47</v>
      </c>
      <c r="E17" s="28" t="s">
        <v>47</v>
      </c>
      <c r="F17" s="28" t="s">
        <v>47</v>
      </c>
      <c r="G17" s="28" t="s">
        <v>172</v>
      </c>
      <c r="H17" s="30"/>
      <c r="I17" s="30"/>
      <c r="J17" s="30"/>
      <c r="K17" s="30"/>
      <c r="L17" s="30"/>
    </row>
    <row r="18">
      <c r="A18" s="39" t="s">
        <v>173</v>
      </c>
      <c r="B18" s="39" t="s">
        <v>174</v>
      </c>
      <c r="C18" s="39" t="s">
        <v>175</v>
      </c>
      <c r="D18" s="39" t="s">
        <v>47</v>
      </c>
      <c r="E18" s="39" t="s">
        <v>47</v>
      </c>
      <c r="F18" s="40" t="s">
        <v>47</v>
      </c>
      <c r="G18" s="39" t="s">
        <v>176</v>
      </c>
      <c r="H18" s="44"/>
      <c r="I18" s="44"/>
      <c r="J18" s="44"/>
      <c r="K18" s="44"/>
      <c r="L18" s="44"/>
    </row>
    <row r="19">
      <c r="A19" s="39" t="s">
        <v>177</v>
      </c>
      <c r="B19" s="39" t="s">
        <v>178</v>
      </c>
      <c r="C19" s="39" t="s">
        <v>179</v>
      </c>
      <c r="D19" s="39" t="s">
        <v>53</v>
      </c>
      <c r="E19" s="39" t="s">
        <v>47</v>
      </c>
      <c r="F19" s="40" t="s">
        <v>53</v>
      </c>
      <c r="G19" s="39" t="s">
        <v>182</v>
      </c>
      <c r="H19" s="44"/>
      <c r="I19" s="44"/>
      <c r="J19" s="44"/>
      <c r="K19" s="44"/>
      <c r="L19" s="44"/>
    </row>
    <row r="20">
      <c r="A20" s="39" t="s">
        <v>183</v>
      </c>
      <c r="B20" s="39" t="s">
        <v>184</v>
      </c>
      <c r="C20" s="39" t="s">
        <v>185</v>
      </c>
      <c r="D20" s="39" t="s">
        <v>47</v>
      </c>
      <c r="E20" s="39" t="s">
        <v>47</v>
      </c>
      <c r="F20" s="40" t="s">
        <v>47</v>
      </c>
      <c r="G20" s="39" t="s">
        <v>186</v>
      </c>
      <c r="H20" s="44"/>
      <c r="I20" s="44"/>
      <c r="J20" s="44"/>
      <c r="K20" s="44"/>
      <c r="L20" s="44"/>
    </row>
    <row r="21">
      <c r="A21" s="39" t="s">
        <v>187</v>
      </c>
      <c r="B21" s="39" t="s">
        <v>188</v>
      </c>
      <c r="C21" s="39" t="s">
        <v>189</v>
      </c>
      <c r="D21" s="39" t="s">
        <v>47</v>
      </c>
      <c r="E21" s="39" t="s">
        <v>47</v>
      </c>
      <c r="F21" s="40" t="s">
        <v>47</v>
      </c>
      <c r="G21" s="39" t="s">
        <v>190</v>
      </c>
      <c r="H21" s="44"/>
      <c r="I21" s="44"/>
      <c r="J21" s="44"/>
      <c r="K21" s="44"/>
      <c r="L21" s="44"/>
    </row>
    <row r="22">
      <c r="A22" s="39" t="s">
        <v>192</v>
      </c>
      <c r="B22" s="39" t="s">
        <v>71</v>
      </c>
      <c r="C22" s="39" t="s">
        <v>193</v>
      </c>
      <c r="D22" s="39" t="s">
        <v>47</v>
      </c>
      <c r="E22" s="39" t="s">
        <v>47</v>
      </c>
      <c r="F22" s="40" t="s">
        <v>47</v>
      </c>
      <c r="G22" s="39" t="s">
        <v>196</v>
      </c>
      <c r="H22" s="44"/>
      <c r="I22" s="44"/>
      <c r="J22" s="44"/>
      <c r="K22" s="44"/>
      <c r="L22" s="44"/>
    </row>
    <row r="23">
      <c r="A23" s="39" t="s">
        <v>197</v>
      </c>
      <c r="B23" s="39" t="s">
        <v>198</v>
      </c>
      <c r="C23" s="39" t="s">
        <v>199</v>
      </c>
      <c r="D23" s="39" t="s">
        <v>47</v>
      </c>
      <c r="E23" s="39" t="s">
        <v>47</v>
      </c>
      <c r="F23" s="40" t="s">
        <v>47</v>
      </c>
      <c r="G23" s="39" t="s">
        <v>200</v>
      </c>
      <c r="H23" s="44"/>
      <c r="I23" s="44"/>
      <c r="J23" s="44"/>
      <c r="K23" s="44"/>
      <c r="L23" s="44"/>
    </row>
    <row r="24">
      <c r="A24" s="39" t="s">
        <v>201</v>
      </c>
      <c r="B24" s="39" t="s">
        <v>83</v>
      </c>
      <c r="C24" s="39" t="s">
        <v>203</v>
      </c>
      <c r="D24" s="39" t="s">
        <v>78</v>
      </c>
      <c r="E24" s="39" t="s">
        <v>47</v>
      </c>
      <c r="F24" s="40" t="s">
        <v>47</v>
      </c>
      <c r="G24" s="39" t="s">
        <v>204</v>
      </c>
      <c r="H24" s="44"/>
      <c r="I24" s="44"/>
      <c r="J24" s="44"/>
      <c r="K24" s="44"/>
      <c r="L24" s="44"/>
    </row>
    <row r="25">
      <c r="A25" s="39" t="s">
        <v>208</v>
      </c>
      <c r="B25" s="39" t="s">
        <v>209</v>
      </c>
      <c r="C25" s="39" t="s">
        <v>110</v>
      </c>
      <c r="D25" s="39" t="s">
        <v>47</v>
      </c>
      <c r="E25" s="39" t="s">
        <v>47</v>
      </c>
      <c r="F25" s="40" t="s">
        <v>47</v>
      </c>
      <c r="G25" s="39" t="s">
        <v>212</v>
      </c>
      <c r="H25" s="44"/>
      <c r="I25" s="44"/>
      <c r="J25" s="44"/>
      <c r="K25" s="44"/>
      <c r="L25" s="44"/>
    </row>
    <row r="26">
      <c r="A26" s="39" t="s">
        <v>213</v>
      </c>
      <c r="B26" s="39" t="s">
        <v>215</v>
      </c>
      <c r="C26" s="39" t="s">
        <v>216</v>
      </c>
      <c r="D26" s="39" t="s">
        <v>47</v>
      </c>
      <c r="E26" s="39" t="s">
        <v>47</v>
      </c>
      <c r="F26" s="40" t="s">
        <v>50</v>
      </c>
      <c r="G26" s="39" t="s">
        <v>218</v>
      </c>
      <c r="H26" s="44"/>
      <c r="I26" s="44"/>
      <c r="J26" s="44"/>
      <c r="K26" s="44"/>
      <c r="L26" s="44"/>
    </row>
    <row r="27">
      <c r="A27" s="39" t="s">
        <v>219</v>
      </c>
      <c r="B27" s="39" t="s">
        <v>220</v>
      </c>
      <c r="C27" s="39" t="s">
        <v>221</v>
      </c>
      <c r="D27" s="39" t="s">
        <v>47</v>
      </c>
      <c r="E27" s="39" t="s">
        <v>47</v>
      </c>
      <c r="F27" s="40" t="s">
        <v>47</v>
      </c>
      <c r="G27" s="39" t="s">
        <v>222</v>
      </c>
      <c r="H27" s="44"/>
      <c r="I27" s="44"/>
      <c r="J27" s="44"/>
      <c r="K27" s="44"/>
      <c r="L27" s="44"/>
    </row>
    <row r="28">
      <c r="A28" s="39" t="s">
        <v>223</v>
      </c>
      <c r="B28" s="39" t="s">
        <v>224</v>
      </c>
      <c r="C28" s="39" t="s">
        <v>225</v>
      </c>
      <c r="D28" s="39" t="s">
        <v>47</v>
      </c>
      <c r="E28" s="39" t="s">
        <v>47</v>
      </c>
      <c r="F28" s="40" t="s">
        <v>50</v>
      </c>
      <c r="G28" s="39" t="s">
        <v>229</v>
      </c>
      <c r="H28" s="44"/>
      <c r="I28" s="44"/>
      <c r="J28" s="44"/>
      <c r="K28" s="44"/>
      <c r="L28" s="44"/>
    </row>
    <row r="29">
      <c r="A29" s="39"/>
      <c r="B29" s="39"/>
      <c r="C29" s="39"/>
      <c r="D29" s="39"/>
      <c r="E29" s="39"/>
      <c r="F29" s="40"/>
      <c r="G29" s="39"/>
      <c r="H29" s="44"/>
      <c r="I29" s="44"/>
      <c r="J29" s="44"/>
      <c r="K29" s="44"/>
      <c r="L29" s="44"/>
    </row>
    <row r="30">
      <c r="A30" s="39"/>
      <c r="B30" s="39"/>
      <c r="C30" s="39"/>
      <c r="D30" s="39"/>
      <c r="E30" s="39"/>
      <c r="F30" s="40"/>
      <c r="G30" s="39"/>
      <c r="H30" s="44"/>
      <c r="I30" s="44"/>
      <c r="J30" s="44"/>
      <c r="K30" s="44"/>
      <c r="L30" s="44"/>
    </row>
    <row r="31">
      <c r="A31" s="39"/>
      <c r="B31" s="39"/>
      <c r="C31" s="39"/>
      <c r="D31" s="39"/>
      <c r="E31" s="39"/>
      <c r="F31" s="40"/>
      <c r="G31" s="39"/>
      <c r="H31" s="44"/>
      <c r="I31" s="44"/>
      <c r="J31" s="44"/>
      <c r="K31" s="44"/>
      <c r="L31" s="44"/>
    </row>
    <row r="32">
      <c r="A32" s="39"/>
      <c r="B32" s="39"/>
      <c r="C32" s="39"/>
      <c r="D32" s="39"/>
      <c r="E32" s="39"/>
      <c r="F32" s="40"/>
      <c r="G32" s="39"/>
      <c r="H32" s="44"/>
      <c r="I32" s="44"/>
      <c r="J32" s="44"/>
      <c r="K32" s="44"/>
      <c r="L32" s="44"/>
    </row>
    <row r="33">
      <c r="A33" s="39"/>
      <c r="B33" s="39"/>
      <c r="C33" s="39"/>
      <c r="D33" s="39"/>
      <c r="E33" s="39"/>
      <c r="F33" s="40"/>
      <c r="G33" s="39"/>
      <c r="H33" s="44"/>
      <c r="I33" s="44"/>
      <c r="J33" s="44"/>
      <c r="K33" s="44"/>
      <c r="L33" s="44"/>
    </row>
    <row r="34">
      <c r="A34" s="39"/>
      <c r="B34" s="39"/>
      <c r="C34" s="39"/>
      <c r="D34" s="39"/>
      <c r="E34" s="39"/>
      <c r="F34" s="40"/>
      <c r="G34" s="39"/>
      <c r="H34" s="44"/>
      <c r="I34" s="44"/>
      <c r="J34" s="44"/>
      <c r="K34" s="44"/>
      <c r="L34" s="44"/>
    </row>
    <row r="35">
      <c r="A35" s="39"/>
      <c r="B35" s="39"/>
      <c r="C35" s="39"/>
      <c r="D35" s="39"/>
      <c r="E35" s="39"/>
      <c r="F35" s="40"/>
      <c r="G35" s="39"/>
      <c r="H35" s="44"/>
      <c r="I35" s="44"/>
      <c r="J35" s="44"/>
      <c r="K35" s="44"/>
      <c r="L35" s="44"/>
    </row>
    <row r="36">
      <c r="A36" s="39"/>
      <c r="B36" s="39"/>
      <c r="C36" s="39"/>
      <c r="D36" s="39"/>
      <c r="E36" s="39"/>
      <c r="F36" s="40"/>
      <c r="G36" s="39"/>
      <c r="H36" s="44"/>
      <c r="I36" s="44"/>
      <c r="J36" s="44"/>
      <c r="K36" s="44"/>
      <c r="L36" s="44"/>
    </row>
    <row r="37">
      <c r="A37" s="39"/>
      <c r="B37" s="39"/>
      <c r="C37" s="39"/>
      <c r="D37" s="39"/>
      <c r="E37" s="39"/>
      <c r="F37" s="40"/>
      <c r="G37" s="39"/>
      <c r="H37" s="44"/>
      <c r="I37" s="44"/>
      <c r="J37" s="44"/>
      <c r="K37" s="44"/>
      <c r="L37" s="44"/>
    </row>
    <row r="38">
      <c r="A38" s="39"/>
      <c r="B38" s="39"/>
      <c r="C38" s="39"/>
      <c r="D38" s="39"/>
      <c r="E38" s="39"/>
      <c r="F38" s="40"/>
      <c r="G38" s="39"/>
      <c r="H38" s="44"/>
      <c r="I38" s="44"/>
      <c r="J38" s="44"/>
      <c r="K38" s="44"/>
      <c r="L38" s="44"/>
    </row>
    <row r="39">
      <c r="A39" s="39"/>
      <c r="B39" s="39"/>
      <c r="C39" s="39"/>
      <c r="D39" s="39"/>
      <c r="E39" s="39"/>
      <c r="F39" s="40"/>
      <c r="G39" s="39"/>
      <c r="H39" s="44"/>
      <c r="I39" s="44"/>
      <c r="J39" s="44"/>
      <c r="K39" s="44"/>
      <c r="L39" s="44"/>
    </row>
    <row r="40">
      <c r="A40" s="39"/>
      <c r="B40" s="39"/>
      <c r="C40" s="39"/>
      <c r="D40" s="39"/>
      <c r="E40" s="39"/>
      <c r="F40" s="40"/>
      <c r="G40" s="39"/>
      <c r="H40" s="44"/>
      <c r="I40" s="44"/>
      <c r="J40" s="44"/>
      <c r="K40" s="44"/>
      <c r="L40" s="44"/>
    </row>
    <row r="41">
      <c r="A41" s="39"/>
      <c r="B41" s="39"/>
      <c r="C41" s="39"/>
      <c r="D41" s="39"/>
      <c r="E41" s="39"/>
      <c r="F41" s="40"/>
      <c r="G41" s="39"/>
      <c r="H41" s="44"/>
      <c r="I41" s="44"/>
      <c r="J41" s="44"/>
      <c r="K41" s="44"/>
      <c r="L41" s="44"/>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mergeCells count="11">
    <mergeCell ref="H5:I5"/>
    <mergeCell ref="J5:L5"/>
    <mergeCell ref="A7:G7"/>
    <mergeCell ref="H7:L7"/>
    <mergeCell ref="A2:L2"/>
    <mergeCell ref="A3:C3"/>
    <mergeCell ref="D3:H3"/>
    <mergeCell ref="I3:L3"/>
    <mergeCell ref="A5:B5"/>
    <mergeCell ref="C5:D5"/>
    <mergeCell ref="E5:G5"/>
  </mergeCells>
  <conditionalFormatting sqref="D9:D17 F9:F41 E10:E15">
    <cfRule type="cellIs" dxfId="0" priority="1" operator="equal">
      <formula>"✅ OK"</formula>
    </cfRule>
  </conditionalFormatting>
  <conditionalFormatting sqref="D9:D17 F9:F41 E10:E15">
    <cfRule type="cellIs" dxfId="1" priority="2" operator="equal">
      <formula>"⚠️ Incompleto"</formula>
    </cfRule>
  </conditionalFormatting>
  <conditionalFormatting sqref="D9:D17 F9:F41 E10:E15">
    <cfRule type="cellIs" dxfId="2" priority="3" operator="equal">
      <formula>"🔴 Não feito"</formula>
    </cfRule>
  </conditionalFormatting>
  <conditionalFormatting sqref="D9:D17 F9:F41 K10:K15">
    <cfRule type="cellIs" dxfId="3" priority="4" operator="equal">
      <formula>"—"</formula>
    </cfRule>
  </conditionalFormatting>
  <conditionalFormatting sqref="E9:E17">
    <cfRule type="cellIs" dxfId="0" priority="5" operator="equal">
      <formula>"✅ OK"</formula>
    </cfRule>
  </conditionalFormatting>
  <conditionalFormatting sqref="E9:E17">
    <cfRule type="cellIs" dxfId="1" priority="6" operator="equal">
      <formula>"⚠️ Incompleto"</formula>
    </cfRule>
  </conditionalFormatting>
  <conditionalFormatting sqref="E9:E17">
    <cfRule type="cellIs" dxfId="2" priority="7" operator="equal">
      <formula>"🔴 Não feito"</formula>
    </cfRule>
  </conditionalFormatting>
  <conditionalFormatting sqref="E9:E17">
    <cfRule type="cellIs" dxfId="3" priority="8" operator="equal">
      <formula>"—"</formula>
    </cfRule>
  </conditionalFormatting>
  <conditionalFormatting sqref="K9:K41">
    <cfRule type="cellIs" dxfId="0" priority="9" operator="equal">
      <formula>"✅ Aprovado"</formula>
    </cfRule>
  </conditionalFormatting>
  <conditionalFormatting sqref="K9:K41">
    <cfRule type="cellIs" dxfId="4" priority="10" operator="equal">
      <formula>"🔄 Em teste"</formula>
    </cfRule>
  </conditionalFormatting>
  <conditionalFormatting sqref="K9:K41">
    <cfRule type="cellIs" dxfId="1" priority="11" operator="equal">
      <formula>"⏳ Aguardando"</formula>
    </cfRule>
  </conditionalFormatting>
  <conditionalFormatting sqref="K9:K41">
    <cfRule type="cellIs" dxfId="2" priority="12" operator="equal">
      <formula>"🔴 Reprovado"</formula>
    </cfRule>
  </conditionalFormatting>
  <conditionalFormatting sqref="K9:K17">
    <cfRule type="cellIs" dxfId="3" priority="13" operator="equal">
      <formula>"—"</formula>
    </cfRule>
  </conditionalFormatting>
  <dataValidations>
    <dataValidation type="list" allowBlank="1" sqref="D9:F41">
      <formula1>"✅ OK,⚠️ Incompleto,🔴 Não feito,—"</formula1>
    </dataValidation>
    <dataValidation type="list" allowBlank="1" sqref="K9:K41">
      <formula1>"✅ Aprovado,🔄 Em teste,⏳ Aguardando,🔴 Reprovado,—"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8D"/>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16.0"/>
    <col customWidth="1" min="3" max="3" width="30.0"/>
    <col customWidth="1" min="4" max="5" width="14.0"/>
    <col customWidth="1" min="6" max="6" width="28.0"/>
    <col customWidth="1" min="7" max="7" width="27.0"/>
    <col customWidth="1" min="8" max="8" width="28.0"/>
    <col customWidth="1" min="9" max="9" width="20.0"/>
    <col customWidth="1" min="10" max="10" width="22.0"/>
    <col customWidth="1" min="11" max="11" width="16.0"/>
    <col customWidth="1" min="12" max="12" width="24.0"/>
  </cols>
  <sheetData>
    <row r="1" ht="4.5" customHeight="1"/>
    <row r="2" ht="37.5" customHeight="1">
      <c r="A2" s="5" t="s">
        <v>75</v>
      </c>
      <c r="B2" s="2"/>
      <c r="C2" s="2"/>
      <c r="D2" s="2"/>
      <c r="E2" s="2"/>
      <c r="F2" s="2"/>
      <c r="G2" s="2"/>
      <c r="H2" s="2"/>
      <c r="I2" s="2"/>
      <c r="J2" s="2"/>
      <c r="K2" s="2"/>
      <c r="L2" s="2"/>
    </row>
    <row r="3" ht="19.5" customHeight="1">
      <c r="A3" s="7" t="s">
        <v>140</v>
      </c>
      <c r="B3" s="2"/>
      <c r="C3" s="2"/>
      <c r="D3" s="7" t="s">
        <v>141</v>
      </c>
      <c r="E3" s="2"/>
      <c r="F3" s="2"/>
      <c r="G3" s="2"/>
      <c r="H3" s="2"/>
      <c r="I3" s="7" t="s">
        <v>142</v>
      </c>
      <c r="J3" s="2"/>
      <c r="K3" s="2"/>
      <c r="L3" s="2"/>
    </row>
    <row r="4" ht="4.5" customHeight="1"/>
    <row r="5" ht="27.75" customHeight="1">
      <c r="A5" s="12" t="str">
        <f>"Sprints: " &amp; COUNTA($A$9:$A1000)</f>
        <v>Sprints: 4</v>
      </c>
      <c r="B5" s="14"/>
      <c r="C5" s="16" t="str">
        <f>COUNTIF($D$9:$D1000,"✅ OK")&amp;"/" &amp; COUNTA($D$9:$D1000) &amp; "Pipefy ✅"</f>
        <v>4/4Pipefy ✅</v>
      </c>
      <c r="D5" s="14"/>
      <c r="E5" s="17" t="str">
        <f>COUNTIF($E$9:$E1000,"✅ OK")&amp;"/" &amp; COUNTA($D$9:$D1000) &amp; "ATA ✅"</f>
        <v>0/4ATA ✅</v>
      </c>
      <c r="F5" s="18"/>
      <c r="G5" s="14"/>
      <c r="H5" s="19" t="str">
        <f>COUNTIF($K$9:$K1000,"✅ Aprovado")&amp;" aprovados 🧪"</f>
        <v>0 aprovados 🧪</v>
      </c>
      <c r="I5" s="14"/>
      <c r="J5" s="20" t="str">
        <f>COUNTIF($K$9:$K1000,"🔄 Em teste")&amp;" em teste 🔄"</f>
        <v>0 em teste 🔄</v>
      </c>
      <c r="K5" s="18"/>
      <c r="L5" s="14"/>
    </row>
    <row r="6" ht="4.5" customHeight="1"/>
    <row r="7" ht="13.5" customHeight="1">
      <c r="A7" s="21" t="s">
        <v>27</v>
      </c>
      <c r="B7" s="18"/>
      <c r="C7" s="18"/>
      <c r="D7" s="18"/>
      <c r="E7" s="18"/>
      <c r="F7" s="18"/>
      <c r="G7" s="14"/>
      <c r="H7" s="22" t="s">
        <v>28</v>
      </c>
      <c r="I7" s="18"/>
      <c r="J7" s="18"/>
      <c r="K7" s="18"/>
      <c r="L7" s="14"/>
    </row>
    <row r="8" ht="36.0" customHeight="1">
      <c r="A8" s="6" t="s">
        <v>29</v>
      </c>
      <c r="B8" s="6" t="s">
        <v>30</v>
      </c>
      <c r="C8" s="6" t="s">
        <v>31</v>
      </c>
      <c r="D8" s="23" t="s">
        <v>32</v>
      </c>
      <c r="E8" s="23" t="s">
        <v>33</v>
      </c>
      <c r="F8" s="25" t="s">
        <v>34</v>
      </c>
      <c r="G8" s="23" t="s">
        <v>35</v>
      </c>
      <c r="H8" s="26" t="s">
        <v>36</v>
      </c>
      <c r="I8" s="26" t="s">
        <v>37</v>
      </c>
      <c r="J8" s="26" t="s">
        <v>38</v>
      </c>
      <c r="K8" s="26" t="s">
        <v>39</v>
      </c>
      <c r="L8" s="26" t="s">
        <v>40</v>
      </c>
    </row>
    <row r="9">
      <c r="A9" s="30" t="s">
        <v>180</v>
      </c>
      <c r="B9" s="28" t="s">
        <v>181</v>
      </c>
      <c r="C9" s="35"/>
      <c r="D9" s="30" t="s">
        <v>47</v>
      </c>
      <c r="E9" s="28" t="s">
        <v>53</v>
      </c>
      <c r="F9" s="28" t="s">
        <v>47</v>
      </c>
      <c r="G9" s="29" t="s">
        <v>191</v>
      </c>
      <c r="H9" s="35"/>
      <c r="I9" s="30"/>
      <c r="J9" s="30"/>
      <c r="K9" s="28"/>
      <c r="L9" s="35"/>
    </row>
    <row r="10">
      <c r="A10" s="39" t="s">
        <v>195</v>
      </c>
      <c r="B10" s="66">
        <v>46154.0</v>
      </c>
      <c r="C10" s="43"/>
      <c r="D10" s="39" t="s">
        <v>47</v>
      </c>
      <c r="E10" s="39" t="s">
        <v>53</v>
      </c>
      <c r="F10" s="40" t="s">
        <v>47</v>
      </c>
      <c r="G10" s="41" t="s">
        <v>206</v>
      </c>
      <c r="H10" s="43"/>
      <c r="I10" s="44"/>
      <c r="J10" s="44"/>
      <c r="K10" s="39"/>
      <c r="L10" s="43"/>
    </row>
    <row r="11">
      <c r="A11" s="28" t="s">
        <v>210</v>
      </c>
      <c r="B11" s="28" t="s">
        <v>211</v>
      </c>
      <c r="C11" s="35"/>
      <c r="D11" s="28" t="s">
        <v>47</v>
      </c>
      <c r="E11" s="28" t="s">
        <v>53</v>
      </c>
      <c r="F11" s="28" t="s">
        <v>53</v>
      </c>
      <c r="G11" s="29" t="s">
        <v>214</v>
      </c>
      <c r="H11" s="35"/>
      <c r="I11" s="30"/>
      <c r="J11" s="30"/>
      <c r="K11" s="28"/>
      <c r="L11" s="35"/>
    </row>
    <row r="12">
      <c r="A12" s="28" t="s">
        <v>210</v>
      </c>
      <c r="B12" s="28" t="s">
        <v>217</v>
      </c>
      <c r="C12" s="43"/>
      <c r="D12" s="39" t="s">
        <v>47</v>
      </c>
      <c r="E12" s="39" t="s">
        <v>53</v>
      </c>
      <c r="F12" s="40" t="s">
        <v>53</v>
      </c>
      <c r="G12" s="29" t="s">
        <v>214</v>
      </c>
      <c r="H12" s="43"/>
      <c r="I12" s="44"/>
      <c r="J12" s="44"/>
      <c r="K12" s="39"/>
      <c r="L12" s="43"/>
    </row>
    <row r="13">
      <c r="A13" s="30"/>
      <c r="B13" s="30"/>
      <c r="C13" s="35"/>
      <c r="D13" s="28"/>
      <c r="E13" s="30"/>
      <c r="F13" s="28"/>
      <c r="G13" s="35"/>
      <c r="H13" s="35"/>
      <c r="I13" s="30"/>
      <c r="J13" s="30"/>
      <c r="K13" s="28"/>
      <c r="L13" s="35"/>
    </row>
    <row r="14">
      <c r="A14" s="39"/>
      <c r="B14" s="44"/>
      <c r="C14" s="44"/>
      <c r="D14" s="39"/>
      <c r="E14" s="39"/>
      <c r="F14" s="40"/>
      <c r="G14" s="44"/>
      <c r="H14" s="44"/>
      <c r="I14" s="44"/>
      <c r="J14" s="44"/>
      <c r="K14" s="44"/>
      <c r="L14" s="44"/>
    </row>
    <row r="15">
      <c r="A15" s="30"/>
      <c r="B15" s="30"/>
      <c r="C15" s="30"/>
      <c r="D15" s="30"/>
      <c r="E15" s="30"/>
      <c r="F15" s="28"/>
      <c r="G15" s="30"/>
      <c r="H15" s="30"/>
      <c r="I15" s="30"/>
      <c r="J15" s="30"/>
      <c r="K15" s="30"/>
      <c r="L15" s="30"/>
    </row>
    <row r="16">
      <c r="A16" s="44"/>
      <c r="B16" s="44"/>
      <c r="C16" s="44"/>
      <c r="D16" s="44"/>
      <c r="E16" s="44"/>
      <c r="F16" s="40"/>
      <c r="G16" s="44"/>
      <c r="H16" s="44"/>
      <c r="I16" s="44"/>
      <c r="J16" s="44"/>
      <c r="K16" s="44"/>
      <c r="L16" s="44"/>
    </row>
    <row r="17">
      <c r="A17" s="30"/>
      <c r="B17" s="30"/>
      <c r="C17" s="30"/>
      <c r="D17" s="30"/>
      <c r="E17" s="30"/>
      <c r="F17" s="28"/>
      <c r="G17" s="30"/>
      <c r="H17" s="30"/>
      <c r="I17" s="30"/>
      <c r="J17" s="30"/>
      <c r="K17" s="30"/>
      <c r="L17" s="30"/>
    </row>
    <row r="18">
      <c r="A18" s="44"/>
      <c r="B18" s="44"/>
      <c r="C18" s="44"/>
      <c r="D18" s="44"/>
      <c r="E18" s="44"/>
      <c r="F18" s="40"/>
      <c r="G18" s="44"/>
      <c r="H18" s="44"/>
      <c r="I18" s="44"/>
      <c r="J18" s="44"/>
      <c r="K18" s="44"/>
      <c r="L18" s="4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5:I5"/>
    <mergeCell ref="J5:L5"/>
    <mergeCell ref="A7:G7"/>
    <mergeCell ref="H7:L7"/>
    <mergeCell ref="A2:L2"/>
    <mergeCell ref="A3:C3"/>
    <mergeCell ref="D3:H3"/>
    <mergeCell ref="I3:L3"/>
    <mergeCell ref="A5:B5"/>
    <mergeCell ref="C5:D5"/>
    <mergeCell ref="E5:G5"/>
  </mergeCells>
  <conditionalFormatting sqref="D9:D18 F9:F18">
    <cfRule type="cellIs" dxfId="0" priority="1" operator="equal">
      <formula>"✅ OK"</formula>
    </cfRule>
  </conditionalFormatting>
  <conditionalFormatting sqref="D9:D18 F9:F18">
    <cfRule type="cellIs" dxfId="1" priority="2" operator="equal">
      <formula>"⚠️ Incompleto"</formula>
    </cfRule>
  </conditionalFormatting>
  <conditionalFormatting sqref="D9:D18 F9:F18">
    <cfRule type="cellIs" dxfId="2" priority="3" operator="equal">
      <formula>"🔴 Não feito"</formula>
    </cfRule>
  </conditionalFormatting>
  <conditionalFormatting sqref="D9:D18 F9:F18">
    <cfRule type="cellIs" dxfId="3" priority="4" operator="equal">
      <formula>"—"</formula>
    </cfRule>
  </conditionalFormatting>
  <conditionalFormatting sqref="E9:E18">
    <cfRule type="cellIs" dxfId="0" priority="5" operator="equal">
      <formula>"✅ OK"</formula>
    </cfRule>
  </conditionalFormatting>
  <conditionalFormatting sqref="E9:E18">
    <cfRule type="cellIs" dxfId="1" priority="6" operator="equal">
      <formula>"⚠️ Incompleto"</formula>
    </cfRule>
  </conditionalFormatting>
  <conditionalFormatting sqref="E9:E18">
    <cfRule type="cellIs" dxfId="2" priority="7" operator="equal">
      <formula>"🔴 Não feito"</formula>
    </cfRule>
  </conditionalFormatting>
  <conditionalFormatting sqref="E9:E18">
    <cfRule type="cellIs" dxfId="3" priority="8" operator="equal">
      <formula>"—"</formula>
    </cfRule>
  </conditionalFormatting>
  <conditionalFormatting sqref="K9:K18">
    <cfRule type="cellIs" dxfId="0" priority="9" operator="equal">
      <formula>"✅ Aprovado"</formula>
    </cfRule>
  </conditionalFormatting>
  <conditionalFormatting sqref="K9:K18">
    <cfRule type="cellIs" dxfId="4" priority="10" operator="equal">
      <formula>"🔄 Em teste"</formula>
    </cfRule>
  </conditionalFormatting>
  <conditionalFormatting sqref="K9:K18">
    <cfRule type="cellIs" dxfId="1" priority="11" operator="equal">
      <formula>"⏳ Aguardando"</formula>
    </cfRule>
  </conditionalFormatting>
  <conditionalFormatting sqref="K9:K18">
    <cfRule type="cellIs" dxfId="2" priority="12" operator="equal">
      <formula>"🔴 Reprovado"</formula>
    </cfRule>
  </conditionalFormatting>
  <conditionalFormatting sqref="K9:K18">
    <cfRule type="cellIs" dxfId="3" priority="13" operator="equal">
      <formula>"—"</formula>
    </cfRule>
  </conditionalFormatting>
  <conditionalFormatting sqref="L10">
    <cfRule type="notContainsBlanks" dxfId="5" priority="14">
      <formula>LEN(TRIM(L10))&gt;0</formula>
    </cfRule>
  </conditionalFormatting>
  <dataValidations>
    <dataValidation type="list" allowBlank="1" sqref="D9:F18">
      <formula1>"✅ OK,⚠️ Incompleto,🔴 Não feito,—"</formula1>
    </dataValidation>
    <dataValidation type="list" allowBlank="1" sqref="K9:K18">
      <formula1>"✅ Aprovado,🔄 Em teste,⏳ Aguardando,🔴 Reprovado,—"</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8D"/>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16.0"/>
    <col customWidth="1" min="3" max="3" width="30.0"/>
    <col customWidth="1" min="4" max="5" width="14.0"/>
    <col customWidth="1" min="6" max="8" width="28.0"/>
    <col customWidth="1" min="9" max="9" width="20.0"/>
    <col customWidth="1" min="10" max="10" width="22.0"/>
    <col customWidth="1" min="11" max="11" width="16.0"/>
    <col customWidth="1" min="12" max="12" width="24.0"/>
  </cols>
  <sheetData>
    <row r="1" ht="4.5" customHeight="1"/>
    <row r="2" ht="37.5" customHeight="1">
      <c r="A2" s="5" t="s">
        <v>194</v>
      </c>
      <c r="B2" s="2"/>
      <c r="C2" s="2"/>
      <c r="D2" s="2"/>
      <c r="E2" s="2"/>
      <c r="F2" s="2"/>
      <c r="G2" s="2"/>
      <c r="H2" s="2"/>
      <c r="I2" s="2"/>
      <c r="J2" s="2"/>
      <c r="K2" s="2"/>
      <c r="L2" s="2"/>
    </row>
    <row r="3" ht="19.5" customHeight="1">
      <c r="A3" s="7" t="s">
        <v>139</v>
      </c>
      <c r="B3" s="2"/>
      <c r="C3" s="2"/>
      <c r="D3" s="7" t="s">
        <v>202</v>
      </c>
      <c r="E3" s="2"/>
      <c r="F3" s="2"/>
      <c r="G3" s="2"/>
      <c r="H3" s="2"/>
      <c r="I3" s="67" t="s">
        <v>205</v>
      </c>
      <c r="J3" s="2"/>
      <c r="K3" s="2"/>
      <c r="L3" s="2"/>
    </row>
    <row r="4" ht="4.5" customHeight="1"/>
    <row r="5" ht="27.75" customHeight="1">
      <c r="A5" s="12" t="str">
        <f>"Sprints: " &amp; COUNTA($A$9:$A1000)</f>
        <v>Sprints: 3</v>
      </c>
      <c r="B5" s="14"/>
      <c r="C5" s="16" t="str">
        <f>COUNTIF($D$9:$D1000,"✅ OK")&amp;"/" &amp; COUNTA($D$9:$D1000) &amp; "Pipefy ✅"</f>
        <v>0/3Pipefy ✅</v>
      </c>
      <c r="D5" s="14"/>
      <c r="E5" s="17" t="str">
        <f>COUNTIF($E$9:$E1000,"✅ OK")&amp;"/" &amp; COUNTA($D$9:$D1000) &amp; "ATA ✅"</f>
        <v>0/3ATA ✅</v>
      </c>
      <c r="F5" s="18"/>
      <c r="G5" s="14"/>
      <c r="H5" s="19" t="str">
        <f>COUNTIF($K$9:$K1000,"✅ Aprovado")&amp;" aprovados 🧪"</f>
        <v>0 aprovados 🧪</v>
      </c>
      <c r="I5" s="14"/>
      <c r="J5" s="20" t="str">
        <f>COUNTIF($K$9:$K1000,"🔄 Em teste")&amp;" em teste 🔄"</f>
        <v>0 em teste 🔄</v>
      </c>
      <c r="K5" s="18"/>
      <c r="L5" s="14"/>
    </row>
    <row r="6" ht="4.5" customHeight="1"/>
    <row r="7" ht="13.5" customHeight="1">
      <c r="A7" s="21" t="s">
        <v>27</v>
      </c>
      <c r="B7" s="18"/>
      <c r="C7" s="18"/>
      <c r="D7" s="18"/>
      <c r="E7" s="18"/>
      <c r="F7" s="18"/>
      <c r="G7" s="14"/>
      <c r="H7" s="22" t="s">
        <v>28</v>
      </c>
      <c r="I7" s="18"/>
      <c r="J7" s="18"/>
      <c r="K7" s="18"/>
      <c r="L7" s="14"/>
    </row>
    <row r="8" ht="36.0" customHeight="1">
      <c r="A8" s="6" t="s">
        <v>29</v>
      </c>
      <c r="B8" s="6" t="s">
        <v>30</v>
      </c>
      <c r="C8" s="6" t="s">
        <v>31</v>
      </c>
      <c r="D8" s="23" t="s">
        <v>32</v>
      </c>
      <c r="E8" s="23" t="s">
        <v>33</v>
      </c>
      <c r="F8" s="25" t="s">
        <v>34</v>
      </c>
      <c r="G8" s="23" t="s">
        <v>35</v>
      </c>
      <c r="H8" s="26" t="s">
        <v>36</v>
      </c>
      <c r="I8" s="26" t="s">
        <v>37</v>
      </c>
      <c r="J8" s="26" t="s">
        <v>38</v>
      </c>
      <c r="K8" s="26" t="s">
        <v>39</v>
      </c>
      <c r="L8" s="26" t="s">
        <v>40</v>
      </c>
    </row>
    <row r="9">
      <c r="A9" s="28" t="s">
        <v>143</v>
      </c>
      <c r="B9" s="58">
        <v>46153.0</v>
      </c>
      <c r="C9" s="29" t="s">
        <v>231</v>
      </c>
      <c r="D9" s="28" t="s">
        <v>50</v>
      </c>
      <c r="E9" s="28" t="s">
        <v>50</v>
      </c>
      <c r="F9" s="28"/>
      <c r="G9" s="29" t="s">
        <v>232</v>
      </c>
      <c r="H9" s="35"/>
      <c r="I9" s="30"/>
      <c r="J9" s="30"/>
      <c r="K9" s="30"/>
      <c r="L9" s="35"/>
    </row>
    <row r="10">
      <c r="A10" s="28" t="s">
        <v>55</v>
      </c>
      <c r="B10" s="39" t="s">
        <v>233</v>
      </c>
      <c r="C10" s="43"/>
      <c r="D10" s="39" t="s">
        <v>50</v>
      </c>
      <c r="E10" s="39" t="s">
        <v>50</v>
      </c>
      <c r="F10" s="40"/>
      <c r="G10" s="41" t="s">
        <v>234</v>
      </c>
      <c r="H10" s="43"/>
      <c r="I10" s="44"/>
      <c r="J10" s="44"/>
      <c r="K10" s="44"/>
      <c r="L10" s="43"/>
    </row>
    <row r="11">
      <c r="A11" s="28" t="s">
        <v>59</v>
      </c>
      <c r="B11" s="28" t="s">
        <v>235</v>
      </c>
      <c r="C11" s="30"/>
      <c r="D11" s="28" t="s">
        <v>50</v>
      </c>
      <c r="E11" s="28" t="s">
        <v>50</v>
      </c>
      <c r="F11" s="28"/>
      <c r="G11" s="29" t="s">
        <v>236</v>
      </c>
      <c r="H11" s="30"/>
      <c r="I11" s="30"/>
      <c r="J11" s="30"/>
      <c r="K11" s="30"/>
      <c r="L11" s="30"/>
    </row>
    <row r="12">
      <c r="A12" s="44"/>
      <c r="B12" s="44"/>
      <c r="C12" s="44"/>
      <c r="D12" s="44"/>
      <c r="E12" s="44"/>
      <c r="F12" s="40"/>
      <c r="G12" s="44"/>
      <c r="H12" s="44"/>
      <c r="I12" s="44"/>
      <c r="J12" s="44"/>
      <c r="K12" s="44"/>
      <c r="L12" s="44"/>
    </row>
    <row r="13">
      <c r="A13" s="30"/>
      <c r="B13" s="30"/>
      <c r="C13" s="30"/>
      <c r="D13" s="30"/>
      <c r="E13" s="30"/>
      <c r="F13" s="28"/>
      <c r="G13" s="30"/>
      <c r="H13" s="30"/>
      <c r="I13" s="30"/>
      <c r="J13" s="30"/>
      <c r="K13" s="30"/>
      <c r="L13" s="30"/>
    </row>
    <row r="14">
      <c r="A14" s="44"/>
      <c r="B14" s="44"/>
      <c r="C14" s="44"/>
      <c r="D14" s="44"/>
      <c r="E14" s="44"/>
      <c r="F14" s="40"/>
      <c r="G14" s="44"/>
      <c r="H14" s="44"/>
      <c r="I14" s="44"/>
      <c r="J14" s="44"/>
      <c r="K14" s="44"/>
      <c r="L14" s="44"/>
    </row>
    <row r="15">
      <c r="A15" s="30"/>
      <c r="B15" s="30"/>
      <c r="C15" s="30"/>
      <c r="D15" s="30"/>
      <c r="E15" s="30"/>
      <c r="F15" s="28"/>
      <c r="G15" s="30"/>
      <c r="H15" s="30"/>
      <c r="I15" s="30"/>
      <c r="J15" s="30"/>
      <c r="K15" s="30"/>
      <c r="L15" s="30"/>
    </row>
    <row r="16">
      <c r="A16" s="44"/>
      <c r="B16" s="44"/>
      <c r="C16" s="44"/>
      <c r="D16" s="44"/>
      <c r="E16" s="44"/>
      <c r="F16" s="40"/>
      <c r="G16" s="44"/>
      <c r="H16" s="44"/>
      <c r="I16" s="44"/>
      <c r="J16" s="44"/>
      <c r="K16" s="44"/>
      <c r="L16" s="44"/>
    </row>
    <row r="17">
      <c r="A17" s="30"/>
      <c r="B17" s="30"/>
      <c r="C17" s="30"/>
      <c r="D17" s="30"/>
      <c r="E17" s="30"/>
      <c r="F17" s="28"/>
      <c r="G17" s="30"/>
      <c r="H17" s="30"/>
      <c r="I17" s="30"/>
      <c r="J17" s="30"/>
      <c r="K17" s="30"/>
      <c r="L17" s="30"/>
    </row>
    <row r="18">
      <c r="A18" s="44"/>
      <c r="B18" s="44"/>
      <c r="C18" s="44"/>
      <c r="D18" s="44"/>
      <c r="E18" s="44"/>
      <c r="F18" s="40"/>
      <c r="G18" s="44"/>
      <c r="H18" s="44"/>
      <c r="I18" s="44"/>
      <c r="J18" s="44"/>
      <c r="K18" s="44"/>
      <c r="L18"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5:I5"/>
    <mergeCell ref="J5:L5"/>
    <mergeCell ref="A7:G7"/>
    <mergeCell ref="H7:L7"/>
    <mergeCell ref="A2:L2"/>
    <mergeCell ref="A3:C3"/>
    <mergeCell ref="D3:H3"/>
    <mergeCell ref="I3:L3"/>
    <mergeCell ref="A5:B5"/>
    <mergeCell ref="C5:D5"/>
    <mergeCell ref="E5:G5"/>
  </mergeCells>
  <conditionalFormatting sqref="D9:D18 F9:F18 E10:E15">
    <cfRule type="cellIs" dxfId="0" priority="1" operator="equal">
      <formula>"✅ OK"</formula>
    </cfRule>
  </conditionalFormatting>
  <conditionalFormatting sqref="D9:D18 F9:F18 E10:E15">
    <cfRule type="cellIs" dxfId="1" priority="2" operator="equal">
      <formula>"⚠️ Incompleto"</formula>
    </cfRule>
  </conditionalFormatting>
  <conditionalFormatting sqref="D9:D18 F9:F18 E10:E15">
    <cfRule type="cellIs" dxfId="2" priority="3" operator="equal">
      <formula>"🔴 Não feito"</formula>
    </cfRule>
  </conditionalFormatting>
  <conditionalFormatting sqref="D9:D18 F9:F18 K10:K15">
    <cfRule type="cellIs" dxfId="3" priority="4" operator="equal">
      <formula>"—"</formula>
    </cfRule>
  </conditionalFormatting>
  <conditionalFormatting sqref="E9:E18">
    <cfRule type="cellIs" dxfId="0" priority="5" operator="equal">
      <formula>"✅ OK"</formula>
    </cfRule>
  </conditionalFormatting>
  <conditionalFormatting sqref="E9:E18">
    <cfRule type="cellIs" dxfId="1" priority="6" operator="equal">
      <formula>"⚠️ Incompleto"</formula>
    </cfRule>
  </conditionalFormatting>
  <conditionalFormatting sqref="E9:E18">
    <cfRule type="cellIs" dxfId="2" priority="7" operator="equal">
      <formula>"🔴 Não feito"</formula>
    </cfRule>
  </conditionalFormatting>
  <conditionalFormatting sqref="E9:E18">
    <cfRule type="cellIs" dxfId="3" priority="8" operator="equal">
      <formula>"—"</formula>
    </cfRule>
  </conditionalFormatting>
  <conditionalFormatting sqref="K9:K18">
    <cfRule type="cellIs" dxfId="0" priority="9" operator="equal">
      <formula>"✅ Aprovado"</formula>
    </cfRule>
  </conditionalFormatting>
  <conditionalFormatting sqref="K9:K18">
    <cfRule type="cellIs" dxfId="4" priority="10" operator="equal">
      <formula>"🔄 Em teste"</formula>
    </cfRule>
  </conditionalFormatting>
  <conditionalFormatting sqref="K9:K18">
    <cfRule type="cellIs" dxfId="1" priority="11" operator="equal">
      <formula>"⏳ Aguardando"</formula>
    </cfRule>
  </conditionalFormatting>
  <conditionalFormatting sqref="K9:K18">
    <cfRule type="cellIs" dxfId="2" priority="12" operator="equal">
      <formula>"🔴 Reprovado"</formula>
    </cfRule>
  </conditionalFormatting>
  <conditionalFormatting sqref="K9:K18">
    <cfRule type="cellIs" dxfId="3" priority="13" operator="equal">
      <formula>"—"</formula>
    </cfRule>
  </conditionalFormatting>
  <conditionalFormatting sqref="L10">
    <cfRule type="notContainsBlanks" dxfId="5" priority="14">
      <formula>LEN(TRIM(L10))&gt;0</formula>
    </cfRule>
  </conditionalFormatting>
  <dataValidations>
    <dataValidation type="list" allowBlank="1" sqref="D9:F18">
      <formula1>"✅ OK,⚠️ Incompleto,🔴 Não feito,—"</formula1>
    </dataValidation>
    <dataValidation type="list" allowBlank="1" sqref="K9:K18">
      <formula1>"✅ Aprovado,🔄 Em teste,⏳ Aguardando,🔴 Reprovado,—"</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44AD"/>
    <pageSetUpPr/>
  </sheetPr>
  <sheetViews>
    <sheetView showGridLines="0" workbookViewId="0"/>
  </sheetViews>
  <sheetFormatPr customHeight="1" defaultColWidth="14.43" defaultRowHeight="15.0"/>
  <cols>
    <col customWidth="1" min="1" max="1" width="34.0"/>
    <col customWidth="1" min="2" max="7" width="14.0"/>
    <col customWidth="1" min="8" max="8" width="16.0"/>
  </cols>
  <sheetData>
    <row r="1" ht="4.5" customHeight="1"/>
    <row r="2" ht="37.5" customHeight="1">
      <c r="A2" s="68" t="s">
        <v>207</v>
      </c>
      <c r="B2" s="2"/>
      <c r="C2" s="2"/>
      <c r="D2" s="2"/>
      <c r="E2" s="2"/>
      <c r="F2" s="2"/>
      <c r="G2" s="2"/>
      <c r="H2" s="2"/>
    </row>
    <row r="3" ht="4.5" customHeight="1"/>
    <row r="4" ht="33.75" customHeight="1">
      <c r="A4" s="69" t="s">
        <v>6</v>
      </c>
      <c r="B4" s="69" t="s">
        <v>12</v>
      </c>
      <c r="C4" s="69" t="s">
        <v>13</v>
      </c>
      <c r="D4" s="69" t="s">
        <v>226</v>
      </c>
      <c r="E4" s="69" t="s">
        <v>227</v>
      </c>
      <c r="F4" s="69" t="s">
        <v>14</v>
      </c>
      <c r="G4" s="69" t="s">
        <v>228</v>
      </c>
      <c r="H4" s="69" t="s">
        <v>230</v>
      </c>
    </row>
    <row r="5" ht="25.5" customHeight="1">
      <c r="A5" s="70" t="s">
        <v>2</v>
      </c>
      <c r="B5" s="30">
        <f>COUNTA(BNQ!$A$9:$A1007)</f>
        <v>10</v>
      </c>
      <c r="C5" s="30">
        <f>COUNTIF(BNQ!$D$9:$D1007,"✅ OK")</f>
        <v>0</v>
      </c>
      <c r="D5" s="30">
        <f>COUNTIF(BNQ!$D$9:$D1007,"⚠️ Incompleto")</f>
        <v>0</v>
      </c>
      <c r="E5" s="30">
        <f>COUNTIF(BNQ!$D$9:$D1007,"🔴 Não feito")</f>
        <v>2</v>
      </c>
      <c r="F5" s="30">
        <f>COUNTIF(BNQ!$E$9:$E1007,"✅ OK")</f>
        <v>0</v>
      </c>
      <c r="G5" s="30">
        <f>COUNTIF(BNQ!$E$9:$E1007,"⚠️ Incompleto")</f>
        <v>0</v>
      </c>
      <c r="H5" s="30">
        <f>COUNTIF(BNQ!$E$9:$E1007,"🔴 Não feito")</f>
        <v>2</v>
      </c>
    </row>
    <row r="6" ht="25.5" customHeight="1">
      <c r="A6" s="71" t="s">
        <v>1</v>
      </c>
      <c r="B6" s="44">
        <f>COUNTA(SPJ!$A$9:$A1007)</f>
        <v>11</v>
      </c>
      <c r="C6" s="44">
        <f>COUNTIF(SPJ!$D$9:$D1007,"✅ OK")</f>
        <v>11</v>
      </c>
      <c r="D6" s="44">
        <f>COUNTIF(SPJ!$D$9:$D1007,"⚠️ Incompleto")</f>
        <v>0</v>
      </c>
      <c r="E6" s="44">
        <f>COUNTIF(SPJ!$D$9:$D1007,"🔴 Não feito")</f>
        <v>0</v>
      </c>
      <c r="F6" s="44">
        <f>COUNTIF(SPJ!$E$9:$E1007,"✅ OK")</f>
        <v>9</v>
      </c>
      <c r="G6" s="44">
        <f>COUNTIF(SPJ!$E$9:$E1007,"⚠️ Incompleto")</f>
        <v>0</v>
      </c>
      <c r="H6" s="44">
        <f>COUNTIF(SPJ!$E$9:$E1007,"🔴 Não feito")</f>
        <v>0</v>
      </c>
    </row>
    <row r="7" ht="25.5" customHeight="1">
      <c r="A7" s="70" t="s">
        <v>46</v>
      </c>
      <c r="B7" s="30">
        <f>COUNTA('EZ2'!$A$9:$A1007)</f>
        <v>9</v>
      </c>
      <c r="C7" s="30">
        <f>COUNTIF('EZ2'!$D$9:$D1007,"✅ OK")</f>
        <v>9</v>
      </c>
      <c r="D7" s="30">
        <f>COUNTIF('EZ2'!$D$9:$D1007,"⚠️ Incompleto")</f>
        <v>0</v>
      </c>
      <c r="E7" s="30">
        <f>COUNTIF('EZ2'!$D$9:$D1007,"🔴 Não feito")</f>
        <v>0</v>
      </c>
      <c r="F7" s="30">
        <f>COUNTIF('EZ2'!$E$9:$E1007,"✅ OK")</f>
        <v>9</v>
      </c>
      <c r="G7" s="30">
        <f>COUNTIF('EZ2'!$E$9:$E1007,"⚠️ Incompleto")</f>
        <v>0</v>
      </c>
      <c r="H7" s="30">
        <f>COUNTIF('EZ2'!$E$9:$E1007,"🔴 Não feito")</f>
        <v>0</v>
      </c>
    </row>
    <row r="8" ht="25.5" customHeight="1">
      <c r="A8" s="72" t="s">
        <v>75</v>
      </c>
      <c r="B8" s="73">
        <f>COUNTA(AENTS!$A$9:$A1007)</f>
        <v>4</v>
      </c>
      <c r="C8" s="73">
        <f>COUNTIF(AENTS!$D$9:$D1007,"✅ OK")</f>
        <v>4</v>
      </c>
      <c r="D8" s="73">
        <f>COUNTIF(AENTS!$D$9:$D1007,"⚠️ Incompleto")</f>
        <v>0</v>
      </c>
      <c r="E8" s="73">
        <f>COUNTIF(AENTS!$D$9:$D1007,"🔴 Não feito")</f>
        <v>0</v>
      </c>
      <c r="F8" s="73">
        <f>COUNTIF(AENTS!$E$9:$E1007,"✅ OK")</f>
        <v>0</v>
      </c>
      <c r="G8" s="73">
        <f>COUNTIF(AENTS!$E$9:$E1007,"⚠️ Incompleto")</f>
        <v>0</v>
      </c>
      <c r="H8" s="73">
        <f>COUNTIF(AENTS!$E$9:$E1007,"🔴 Não feito")</f>
        <v>4</v>
      </c>
    </row>
    <row r="9" ht="25.5" customHeight="1">
      <c r="A9" s="49" t="s">
        <v>111</v>
      </c>
      <c r="B9" s="30">
        <f>COUNTA(Rotulare!$A$9:$A1007)</f>
        <v>20</v>
      </c>
      <c r="C9" s="30">
        <f>COUNTIF(Rotulare!$D$9:$D1007,"✅ OK")</f>
        <v>17</v>
      </c>
      <c r="D9" s="30">
        <f>COUNTIF(Rotulare!$D$9:$D1007,"⚠️ Incompleto")</f>
        <v>2</v>
      </c>
      <c r="E9" s="30">
        <f>COUNTIF(Rotulare!$D$9:$D1007,"🔴 Não feito")</f>
        <v>1</v>
      </c>
      <c r="F9" s="30">
        <f>COUNTIF(Rotulare!$E$9:$E1007,"✅ OK")</f>
        <v>20</v>
      </c>
      <c r="G9" s="30">
        <f>COUNTIF(Rotulare!$E$9:$E1007,"⚠️ Incompleto")</f>
        <v>0</v>
      </c>
      <c r="H9" s="30">
        <f>COUNTIF(Rotulare!$E$9:$E1007,"🔴 Não feito")</f>
        <v>0</v>
      </c>
    </row>
    <row r="10" ht="25.5" customHeight="1">
      <c r="A10" s="72" t="s">
        <v>136</v>
      </c>
      <c r="B10" s="73">
        <f>COUNTA(ODD!$A$9:$A1007)</f>
        <v>3</v>
      </c>
      <c r="C10" s="73">
        <f>COUNTIF(ODD!$D$9:$D1007,"✅ OK")</f>
        <v>0</v>
      </c>
      <c r="D10" s="73">
        <f>COUNTIF(ODD!$D$9:$D1007,"⚠️ Incompleto")</f>
        <v>0</v>
      </c>
      <c r="E10" s="73">
        <f>COUNTIF(ODD!$D$9:$D1007,"🔴 Não feito")</f>
        <v>0</v>
      </c>
      <c r="F10" s="73">
        <f>COUNTIF(ODD!$E$9:$E1007,"✅ OK")</f>
        <v>0</v>
      </c>
      <c r="G10" s="73">
        <f>COUNTIF(ODD!$E$9:$E1007,"⚠️ Incompleto")</f>
        <v>0</v>
      </c>
      <c r="H10" s="73">
        <f>COUNTIF(ODD!$E$9:$E1007,"🔴 Não feito")</f>
        <v>0</v>
      </c>
    </row>
    <row r="11" ht="25.5" customHeight="1">
      <c r="A11" s="74" t="s">
        <v>237</v>
      </c>
      <c r="B11" s="75">
        <f t="shared" ref="B11:H11" si="1">SUM(B5:B10)</f>
        <v>57</v>
      </c>
      <c r="C11" s="75">
        <f t="shared" si="1"/>
        <v>41</v>
      </c>
      <c r="D11" s="75">
        <f t="shared" si="1"/>
        <v>2</v>
      </c>
      <c r="E11" s="75">
        <f t="shared" si="1"/>
        <v>3</v>
      </c>
      <c r="F11" s="75">
        <f t="shared" si="1"/>
        <v>38</v>
      </c>
      <c r="G11" s="75">
        <f t="shared" si="1"/>
        <v>0</v>
      </c>
      <c r="H11" s="75">
        <f t="shared" si="1"/>
        <v>6</v>
      </c>
    </row>
    <row r="13" ht="24.0" customHeight="1">
      <c r="A13" s="76" t="s">
        <v>238</v>
      </c>
      <c r="B13" s="2"/>
      <c r="C13" s="2"/>
      <c r="D13" s="2"/>
      <c r="E13" s="2"/>
      <c r="F13" s="2"/>
      <c r="G13" s="2"/>
      <c r="H13" s="2"/>
    </row>
    <row r="14" ht="31.5" customHeight="1">
      <c r="A14" s="26" t="s">
        <v>6</v>
      </c>
      <c r="B14" s="26" t="s">
        <v>239</v>
      </c>
      <c r="C14" s="26" t="s">
        <v>240</v>
      </c>
      <c r="D14" s="26" t="s">
        <v>18</v>
      </c>
      <c r="E14" s="26" t="s">
        <v>241</v>
      </c>
      <c r="F14" s="26" t="s">
        <v>242</v>
      </c>
      <c r="G14" s="26" t="s">
        <v>243</v>
      </c>
      <c r="H14" s="26" t="s">
        <v>244</v>
      </c>
    </row>
    <row r="15" ht="25.5" customHeight="1">
      <c r="A15" s="70" t="s">
        <v>2</v>
      </c>
      <c r="B15" s="77">
        <f>IFERROR(COUNTIF(BNQ!$D$9:$D1007,"✅ OK")/MAX(COUNTA(BNQ!$D$9:$D1007),1),0)</f>
        <v>0</v>
      </c>
      <c r="C15" s="77">
        <f>IFERROR(COUNTIF(BNQ!$E$9:$E1007,"✅ OK")/MAX(COUNTA(BNQ!$E$9:$E1007),1),0)</f>
        <v>0</v>
      </c>
      <c r="D15" s="13">
        <f>COUNTIF(BNQ!$K$9:$K1007,"✅ Aprovado")</f>
        <v>0</v>
      </c>
      <c r="E15" s="13">
        <f>COUNTIF(BNQ!$K$9:$K1007,"🔄 Em teste")</f>
        <v>0</v>
      </c>
      <c r="F15" s="13">
        <f>COUNTIF(BNQ!$K$9:$K1007,"🔴 Reprovado")</f>
        <v>0</v>
      </c>
      <c r="G15" s="13">
        <f>COUNTIF(BNQ!$D$9:$D1007,"🔴 Não feito")+COUNTIF(BNQ!$D$9:$D1007,"⚠️ Incompleto")+COUNTIF(BNQ!$E$9:$E1007,"🔴 Não feito")+COUNTIF(BNQ!$E$9:$E1007,"⚠️ Incompleto")</f>
        <v>4</v>
      </c>
      <c r="H15" s="13" t="str">
        <f>IF(COUNTIF(BNQ!$D$9:$D1007,"🔴 Não feito")+COUNTIF(BNQ!$E$9:$E1007,"🔴 Não feito")&gt;0,"🔴 Atenção",IF(COUNTIF(BNQ!$D$9:$D1007,"⚠️ Incompleto")+COUNTIF(BNQ!$E$9:$E1007,"⚠️ Incompleto")&gt;0,"⚠️ Verificar","🟢 OK"))</f>
        <v>🔴 Atenção</v>
      </c>
    </row>
    <row r="16" ht="25.5" customHeight="1">
      <c r="A16" s="71" t="s">
        <v>1</v>
      </c>
      <c r="B16" s="78">
        <f>IFERROR(COUNTIF(SPJ!$D$9:$D1007,"✅ OK")/MAX(COUNTA(SPJ!$D$9:$D1007),1),0)</f>
        <v>1</v>
      </c>
      <c r="C16" s="78">
        <f>IFERROR(COUNTIF(SPJ!$E$9:$E1007,"✅ OK")/MAX(COUNTA(SPJ!$E$9:$E1007),1),0)</f>
        <v>0.8181818182</v>
      </c>
      <c r="D16" s="32">
        <f>COUNTIF(SPJ!$K$9:$K1007,"✅ Aprovado")</f>
        <v>0</v>
      </c>
      <c r="E16" s="32">
        <f>COUNTIF(SPJ!$K$9:$K1007,"✅ Aprovado")</f>
        <v>0</v>
      </c>
      <c r="F16" s="32">
        <f>COUNTIF(SPJ!$K$9:$K1007,"✅ Aprovado")</f>
        <v>0</v>
      </c>
      <c r="G16" s="32">
        <f>COUNTIF(SPJ!$D$9:$D1007,"🔴 Não feito")+COUNTIF(SPJ!$D$9:$D1007,"⚠️ Incompleto")+COUNTIF(SPJ!$E$9:$E1007,"🔴 Não feito")+COUNTIF(SPJ!$E$9:$E1007,"⚠️ Incompleto")</f>
        <v>0</v>
      </c>
      <c r="H16" s="32" t="str">
        <f>IF(COUNTIF(SPJ!$D$9:$D1007,"🔴 Não feito")+COUNTIF(SPJ!$E$9:$E1007,"🔴 Não feito")&gt;0,"🔴 Atenção",IF(COUNTIF(SPJ!$D$9:$D1007,"⚠️ Incompleto")+COUNTIF(SPJ!$E$9:$E1007,"⚠️ Incompleto")&gt;0,"⚠️ Verificar","🟢 OK"))</f>
        <v>🟢 OK</v>
      </c>
    </row>
    <row r="17" ht="25.5" customHeight="1">
      <c r="A17" s="70" t="s">
        <v>46</v>
      </c>
      <c r="B17" s="77">
        <f>IFERROR(COUNTIF('EZ2'!$D$9:$D1007,"✅ OK")/MAX(COUNTA('EZ2'!$D$9:$D1007),1),0)</f>
        <v>1</v>
      </c>
      <c r="C17" s="77">
        <f>IFERROR(COUNTIF('EZ2'!$E$9:$E1007,"✅ OK")/MAX(COUNTA('EZ2'!$E$9:$E1007),1),0)</f>
        <v>1</v>
      </c>
      <c r="D17" s="13">
        <f>COUNTIF('EZ2'!$K$9:$K1007,"✅ Aprovado")</f>
        <v>0</v>
      </c>
      <c r="E17" s="13">
        <f>COUNTIF('EZ2'!$K$9:$K1007,"🔄 Em teste")</f>
        <v>0</v>
      </c>
      <c r="F17" s="13">
        <f>COUNTIF('EZ2'!$K$9:$K1007,"🔴 Reprovado")</f>
        <v>0</v>
      </c>
      <c r="G17" s="13">
        <f>COUNTIF('EZ2'!$D$9:$D1007,"🔴 Não feito")+COUNTIF('EZ2'!$D$9:$D1007,"⚠️ Incompleto")+COUNTIF('EZ2'!$E$9:$E1007,"🔴 Não feito")+COUNTIF('EZ2'!$E$9:$E1007,"⚠️ Incompleto")</f>
        <v>0</v>
      </c>
      <c r="H17" s="13" t="str">
        <f>IF(COUNTIF('EZ2'!$D$9:$D1007,"🔴 Não feito")+COUNTIF('EZ2'!$E$9:$E1007,"🔴 Não feito")&gt;0,"🔴 Atenção",IF(COUNTIF('EZ2'!$D$9:$D1007,"⚠️ Incompleto")+COUNTIF('EZ2'!$E$9:$E1007,"⚠️ Incompleto")&gt;0,"⚠️ Verificar","🟢 OK"))</f>
        <v>🟢 OK</v>
      </c>
    </row>
    <row r="18" ht="25.5" customHeight="1">
      <c r="A18" s="72" t="s">
        <v>75</v>
      </c>
      <c r="B18" s="79">
        <f>IFERROR(COUNTIF(AENTS!$D$9:$D1007,"✅ OK")/MAX(COUNTA(AENTS!$D$9:$D1007),1),0)</f>
        <v>1</v>
      </c>
      <c r="C18" s="79">
        <f>IFERROR(COUNTIF(AENTS!$E$9:$E1007,"✅ OK")/MAX(COUNTA(AENTS!$E$9:$E1007),1),0)</f>
        <v>0</v>
      </c>
      <c r="D18" s="80">
        <f>COUNTIF(AENTS!$K$9:$K1007,"✅ Aprovado")</f>
        <v>0</v>
      </c>
      <c r="E18" s="80">
        <f>COUNTIF(AENTS!$K$9:$K1007,"🔄 Em teste")</f>
        <v>0</v>
      </c>
      <c r="F18" s="80">
        <f>COUNTIF(AENTS!$K$9:$K1007,"🔴 Reprovado")</f>
        <v>0</v>
      </c>
      <c r="G18" s="80">
        <f>COUNTIF(AENTS!$D$9:$D1007,"🔴 Não feito")+COUNTIF(AENTS!$D$9:$D1007,"⚠️ Incompleto")+COUNTIF(AENTS!$E$9:$E1007,"🔴 Não feito")+COUNTIF(AENTS!$E$9:$E1007,"⚠️ Incompleto")</f>
        <v>4</v>
      </c>
      <c r="H18" s="13" t="str">
        <f>IF(COUNTIF(AENTS!$D$9:$D1007,"🔴 Não feito")+COUNTIF(AENTS!$E$9:$E1007,"🔴 Não feito")&gt;0,"🔴 Atenção",IF(COUNTIF(AENTS!$D$9:$D1007,"⚠️ Incompleto")+COUNTIF(AENTS!$E$9:$E1007,"⚠️ Incompleto")&gt;0,"⚠️ Verificar","🟢 OK"))</f>
        <v>🔴 Atenção</v>
      </c>
    </row>
    <row r="19" ht="25.5" customHeight="1">
      <c r="A19" s="49" t="s">
        <v>111</v>
      </c>
      <c r="B19" s="77">
        <f>IFERROR(COUNTIF(Rotulare!$D$9:$D1007,"✅ OK")/MAX(COUNTA(Rotulare!$D$9:$D1007),1),0)</f>
        <v>0.85</v>
      </c>
      <c r="C19" s="77">
        <f>IFERROR(COUNTIF(Rotulare!$E$9:$E1007,"✅ OK")/MAX(COUNTA(Rotulare!$E$9:$E1007),1),0)</f>
        <v>1</v>
      </c>
      <c r="D19" s="13">
        <f>COUNTIF(Rotulare!$K$9:$K1007,"✅ Aprovado")</f>
        <v>0</v>
      </c>
      <c r="E19" s="13">
        <f>COUNTIF(Rotulare!$K$9:$K1007,"🔄 Em teste")</f>
        <v>0</v>
      </c>
      <c r="F19" s="13">
        <f>COUNTIF(Rotulare!$K$9:$K1007,"🔴 Reprovado")</f>
        <v>0</v>
      </c>
      <c r="G19" s="13">
        <f>COUNTIF(Rotulare!$D$9:$D1007,"🔴 Não feito")+COUNTIF(Rotulare!$D$9:$D1007,"⚠️ Incompleto")+COUNTIF(Rotulare!$E$9:$E1007,"🔴 Não feito")+COUNTIF(Rotulare!$E$9:$E1007,"⚠️ Incompleto")</f>
        <v>3</v>
      </c>
      <c r="H19" s="13" t="str">
        <f>IF(COUNTIF(Rotulare!$D$9:$D1007,"🔴 Não feito")+COUNTIF(Rotulare!$E$9:$E1007,"🔴 Não feito")&gt;0,"🔴 Atenção",IF(COUNTIF(Rotulare!$D$9:$D1007,"⚠️ Incompleto")+COUNTIF(Rotulare!$E$9:$E1007,"⚠️ Incompleto")&gt;0,"⚠️ Verificar","🟢 OK"))</f>
        <v>🔴 Atenção</v>
      </c>
    </row>
    <row r="20" ht="25.5" customHeight="1">
      <c r="A20" s="72" t="s">
        <v>136</v>
      </c>
      <c r="B20" s="79">
        <f>IFERROR(COUNTIF(ODD!$D$9:$D1007,"✅ OK")/MAX(COUNTA(ODD!$D$9:$D1007),1),0)</f>
        <v>0</v>
      </c>
      <c r="C20" s="79">
        <f>IFERROR(COUNTIF(ODD!$E$9:$E1007,"✅ OK")/MAX(COUNTA(ODD!$E$9:$E1007),1),0)</f>
        <v>0</v>
      </c>
      <c r="D20" s="80">
        <f>COUNTIF(ODD!$K$9:$K1007,"✅ Aprovado")</f>
        <v>0</v>
      </c>
      <c r="E20" s="80">
        <f>COUNTIF(ODD!$K$9:$K1007,"🔄 Em teste")</f>
        <v>0</v>
      </c>
      <c r="F20" s="80">
        <f>COUNTIF(ODD!$K$9:$K1007,"🔴 Reprovado")</f>
        <v>0</v>
      </c>
      <c r="G20" s="80">
        <f>COUNTIF(ODD!$D$9:$D1007,"🔴 Não feito")+COUNTIF(ODD!$D$9:$D1007,"⚠️ Incompleto")+COUNTIF(ODD!$E$9:$E1007,"🔴 Não feito")+COUNTIF(ODD!$E$9:$E1007,"⚠️ Incompleto")</f>
        <v>0</v>
      </c>
      <c r="H20" s="13" t="str">
        <f>IF(COUNTIF(ODD!$D$9:$D1007,"🔴 Não feito")+COUNTIF(ODD!$E$9:$E1007,"🔴 Não feito")&gt;0,"🔴 Atenção",IF(COUNTIF(ODD!$D$9:$D1007,"⚠️ Incompleto")+COUNTIF(ODD!$E$9:$E1007,"⚠️ Incompleto")&gt;0,"⚠️ Verificar","🟢 OK"))</f>
        <v>🟢 OK</v>
      </c>
    </row>
    <row r="21" ht="25.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2">
    <mergeCell ref="A2:H2"/>
    <mergeCell ref="A13:H13"/>
  </mergeCells>
  <conditionalFormatting sqref="H15:H21">
    <cfRule type="cellIs" dxfId="0" priority="1" operator="equal">
      <formula>"🟢 OK"</formula>
    </cfRule>
  </conditionalFormatting>
  <conditionalFormatting sqref="H15:H21">
    <cfRule type="cellIs" dxfId="1" priority="2" operator="equal">
      <formula>"⚠️ Verificar"</formula>
    </cfRule>
  </conditionalFormatting>
  <conditionalFormatting sqref="H15:H21">
    <cfRule type="cellIs" dxfId="2" priority="3" operator="equal">
      <formula>"🔴 Atenção"</formula>
    </cfRule>
  </conditionalFormatting>
  <printOptions/>
  <pageMargins bottom="1.0" footer="0.0" header="0.0" left="0.75" right="0.75" top="1.0"/>
  <pageSetup orientation="landscape"/>
  <drawing r:id="rId1"/>
</worksheet>
</file>